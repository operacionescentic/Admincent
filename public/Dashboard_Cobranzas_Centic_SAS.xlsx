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_rels/pivotTable6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media/image1.png" ContentType="image/png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entas" sheetId="2" state="visible" r:id="rId4"/>
    <sheet name="DSB" sheetId="3" state="visible" r:id="rId5"/>
    <sheet name="TABLERO" sheetId="4" state="visible" r:id="rId6"/>
  </sheets>
  <definedNames>
    <definedName function="false" hidden="false" name="NativeTimeline_Fecha" vbProcedure="false">#N/A</definedName>
    <definedName function="false" hidden="false" name="SegmentaciónDeDatos_Canal" vbProcedure="false">#N/A</definedName>
    <definedName function="false" hidden="false" name="SegmentaciónDeDatos_Categoria" vbProcedure="false">#N/A</definedName>
    <definedName function="false" hidden="false" name="SegmentaciónDeDatos_Vendedor" vbProcedure="false">#N/A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<sst xmlns="http://schemas.openxmlformats.org/spreadsheetml/2006/main" count="412" uniqueCount="197">
  <si>
    <t xml:space="preserve">DASHBOARD DE COBRANZAS — CENTIC SAS</t>
  </si>
  <si>
    <t xml:space="preserve">Control de cartera por cobrar · Cursos y certificaciones</t>
  </si>
  <si>
    <t xml:space="preserve">Los indicadores se recalculan automáticamente a partir de la hoja "Ventas". Última actualización: fórmulas en vivo.</t>
  </si>
  <si>
    <t xml:space="preserve">CARTERA TOTAL PENDIENTE</t>
  </si>
  <si>
    <t xml:space="preserve">N° DE REGISTROS CON SALDO</t>
  </si>
  <si>
    <t xml:space="preserve">SALDO PROMEDIO POR REGISTRO</t>
  </si>
  <si>
    <t xml:space="preserve">% CARTERA "AL DÍA"</t>
  </si>
  <si>
    <t xml:space="preserve">% CARTERA EN GESTIÓN / RIESGO</t>
  </si>
  <si>
    <t xml:space="preserve">① Cartera por estado de gestión</t>
  </si>
  <si>
    <t xml:space="preserve">⑤ Top 10 registros con mayor saldo pendiente</t>
  </si>
  <si>
    <t xml:space="preserve">Estado</t>
  </si>
  <si>
    <t xml:space="preserve">Cartera ($)</t>
  </si>
  <si>
    <t xml:space="preserve">N° registros</t>
  </si>
  <si>
    <t xml:space="preserve">Cliente</t>
  </si>
  <si>
    <t xml:space="preserve">Saldo ($)</t>
  </si>
  <si>
    <t xml:space="preserve">Vendedor</t>
  </si>
  <si>
    <t xml:space="preserve">Al día</t>
  </si>
  <si>
    <t xml:space="preserve">Pendiente / Compromiso</t>
  </si>
  <si>
    <t xml:space="preserve">Sin respuesta / Inactivo</t>
  </si>
  <si>
    <t xml:space="preserve">Sin gestionar</t>
  </si>
  <si>
    <t xml:space="preserve">② Cartera por vendedor</t>
  </si>
  <si>
    <t xml:space="preserve">Ximena</t>
  </si>
  <si>
    <t xml:space="preserve">Carolina</t>
  </si>
  <si>
    <t xml:space="preserve">Sebas</t>
  </si>
  <si>
    <t xml:space="preserve">③ Cartera por categoría de servicio</t>
  </si>
  <si>
    <t xml:space="preserve">Categoría</t>
  </si>
  <si>
    <t xml:space="preserve">ITIL</t>
  </si>
  <si>
    <t xml:space="preserve">ISO 27001</t>
  </si>
  <si>
    <t xml:space="preserve">ISO 42001</t>
  </si>
  <si>
    <t xml:space="preserve">Otras ISO</t>
  </si>
  <si>
    <t xml:space="preserve">SCRUM</t>
  </si>
  <si>
    <t xml:space="preserve">BRIDGE</t>
  </si>
  <si>
    <t xml:space="preserve">CDS</t>
  </si>
  <si>
    <t xml:space="preserve">TOGAF</t>
  </si>
  <si>
    <t xml:space="preserve">DPI</t>
  </si>
  <si>
    <t xml:space="preserve">DITS</t>
  </si>
  <si>
    <t xml:space="preserve">AGILE</t>
  </si>
  <si>
    <t xml:space="preserve">Ciberseguridad</t>
  </si>
  <si>
    <t xml:space="preserve">Sin definir</t>
  </si>
  <si>
    <t xml:space="preserve">④ Antigüedad de mora (meses)</t>
  </si>
  <si>
    <t xml:space="preserve">Rango</t>
  </si>
  <si>
    <t xml:space="preserve">1-3 meses</t>
  </si>
  <si>
    <t xml:space="preserve">4-6 meses</t>
  </si>
  <si>
    <t xml:space="preserve">+6 meses</t>
  </si>
  <si>
    <t xml:space="preserve">Sin dato registrado</t>
  </si>
  <si>
    <t xml:space="preserve">Notas metodológicas</t>
  </si>
  <si>
    <t xml:space="preserve">• "Cartera total pendiente" suma la columna Total a pagar de la hoja Ventas (columna auxiliar M, que también convierte a número los valores escritos como texto, ej. "$1.000.000").</t>
  </si>
  <si>
    <t xml:space="preserve">• El estado de cartera se clasifica automáticamente cruzando las columnas "Estado de cobro" y "Estado de cobro2" por palabras clave (AL DIA, PENDIENTE, COMPROMISO, QUIETO, ESPERANDO, etc.). Los registros sin ninguna de estas palabras quedan en "Sin gestionar": es la categoría más grande (44 de 65) porque muchos registros aún no tienen un estado de cobro registrado en el archivo original.</t>
  </si>
  <si>
    <t xml:space="preserve">• La antigüedad de mora usa la columna "Meses en mora", que solo tiene datos numéricos en 6 de 65 registros; el resto aparece como "Sin dato registrado". Se recomienda diligenciar esta columna de forma más consistente para que este indicador sea representativo.</t>
  </si>
  <si>
    <t xml:space="preserve">• El Top 10 se calcula por registro individual (un mismo cliente puede tener más de un registro si tomó varios cursos).</t>
  </si>
  <si>
    <t xml:space="preserve">• No fue posible construir una comparación mensual (como en la plantilla de referencia) porque la columna "Fecha del contacto" solo está diligenciada en 7 de 65 registros.</t>
  </si>
  <si>
    <t xml:space="preserve">• Para actualizar el dashboard: agrega filas nuevas en la hoja Ventas (las fórmulas auxiliares llegan hasta la fila 300) y todos los indicadores, tablas y gráficos se recalculan solos.</t>
  </si>
  <si>
    <t xml:space="preserve">ID_Venta</t>
  </si>
  <si>
    <t xml:space="preserve">Nombre completo </t>
  </si>
  <si>
    <t xml:space="preserve">Fecha del contacto</t>
  </si>
  <si>
    <t xml:space="preserve">Servicio</t>
  </si>
  <si>
    <t xml:space="preserve">Estado de cobro</t>
  </si>
  <si>
    <t xml:space="preserve">% interes de mora</t>
  </si>
  <si>
    <t xml:space="preserve">Valor de interes de mora</t>
  </si>
  <si>
    <t xml:space="preserve">Total a pagar</t>
  </si>
  <si>
    <t xml:space="preserve">Fecha de compromiso de pago </t>
  </si>
  <si>
    <t xml:space="preserve">Meses en mora </t>
  </si>
  <si>
    <t xml:space="preserve">Estado de cobro2</t>
  </si>
  <si>
    <t xml:space="preserve">AYUDA PARA DASHBOARD — NO EDITAR (se calcula solo)</t>
  </si>
  <si>
    <t xml:space="preserve">Froilán González Roa</t>
  </si>
  <si>
    <t xml:space="preserve">ITIL 4 Fundamentos</t>
  </si>
  <si>
    <t xml:space="preserve">Curso y examen</t>
  </si>
  <si>
    <t xml:space="preserve">no</t>
  </si>
  <si>
    <t xml:space="preserve">ABONO 5 MAYO</t>
  </si>
  <si>
    <t xml:space="preserve">PAGO AL DIA</t>
  </si>
  <si>
    <t xml:space="preserve">Total depurado ($)</t>
  </si>
  <si>
    <t xml:space="preserve">Vendedor (normalizado)</t>
  </si>
  <si>
    <t xml:space="preserve">Estado cartera (normalizado)</t>
  </si>
  <si>
    <t xml:space="preserve">Categoría servicio</t>
  </si>
  <si>
    <t xml:space="preserve">Rango antigüedad mora</t>
  </si>
  <si>
    <t xml:space="preserve">Rank saldo (para Top 10)</t>
  </si>
  <si>
    <t xml:space="preserve">Karen Sirley Hernandez Morales</t>
  </si>
  <si>
    <t xml:space="preserve">SCRUM Plus </t>
  </si>
  <si>
    <t xml:space="preserve">M+PO</t>
  </si>
  <si>
    <t xml:space="preserve">INCREMENTO</t>
  </si>
  <si>
    <t xml:space="preserve">ABONO 1 31 MAR Y ABONO 2 15 ABRIL</t>
  </si>
  <si>
    <t xml:space="preserve">Pendiente</t>
  </si>
  <si>
    <t xml:space="preserve">Edgar Enrique Beltran Hernandez</t>
  </si>
  <si>
    <t xml:space="preserve">X</t>
  </si>
  <si>
    <t xml:space="preserve">abono1 27 de marzo hasta 15 mayo </t>
  </si>
  <si>
    <t xml:space="preserve">José León Nuñez Oñate</t>
  </si>
  <si>
    <t xml:space="preserve">PROCESO</t>
  </si>
  <si>
    <t xml:space="preserve">Luis Alberto Solarte Lopez</t>
  </si>
  <si>
    <t xml:space="preserve">Juan Pablo Zambrano Sanchez</t>
  </si>
  <si>
    <t xml:space="preserve">ISO 22301</t>
  </si>
  <si>
    <t xml:space="preserve">Dorian Lizeth Vera Cano</t>
  </si>
  <si>
    <t xml:space="preserve">CAMBIO AGILE A  ITIL </t>
  </si>
  <si>
    <t xml:space="preserve">Vivian Sanz Martelo</t>
  </si>
  <si>
    <t xml:space="preserve">COMPROMISO DE PAGO</t>
  </si>
  <si>
    <t xml:space="preserve">$1.000.000</t>
  </si>
  <si>
    <t xml:space="preserve">ABONO 10ABRIL </t>
  </si>
  <si>
    <t xml:space="preserve">Sindy Lorena Ortiz Gonzalez</t>
  </si>
  <si>
    <t xml:space="preserve">SCRUM gold</t>
  </si>
  <si>
    <t xml:space="preserve">$1.100.000</t>
  </si>
  <si>
    <t xml:space="preserve">ABONO 15 JUN</t>
  </si>
  <si>
    <t xml:space="preserve">Pendiente X FECHA</t>
  </si>
  <si>
    <t xml:space="preserve">Osiris Yasbleidy Torres Gutierrez</t>
  </si>
  <si>
    <t xml:space="preserve">ABONO 15 ABR</t>
  </si>
  <si>
    <t xml:space="preserve">Gianella Mendoza Ruiz</t>
  </si>
  <si>
    <t xml:space="preserve">ABONO 30 ABR</t>
  </si>
  <si>
    <t xml:space="preserve">Luis Fernando Ramirez Cancelado</t>
  </si>
  <si>
    <t xml:space="preserve">ABONO 16 ABR</t>
  </si>
  <si>
    <t xml:space="preserve">Meredith Ibarra Uyaban</t>
  </si>
  <si>
    <t xml:space="preserve">ABONO 30ABR/31MAY/30JUN</t>
  </si>
  <si>
    <t xml:space="preserve">Maria Paula villamil</t>
  </si>
  <si>
    <t xml:space="preserve">Nilson Andres Urresti Gonzalez</t>
  </si>
  <si>
    <t xml:space="preserve">Gelmer Parada Parada</t>
  </si>
  <si>
    <t xml:space="preserve">llamar</t>
  </si>
  <si>
    <t xml:space="preserve">-</t>
  </si>
  <si>
    <t xml:space="preserve">Gabriel Enrique Moreno Pérez</t>
  </si>
  <si>
    <t xml:space="preserve">PENDIENTE POR INGRESAR CRUSO</t>
  </si>
  <si>
    <t xml:space="preserve">QUIETO</t>
  </si>
  <si>
    <t xml:space="preserve">Diana Carolina Acuña Serrano</t>
  </si>
  <si>
    <t xml:space="preserve">PENDIENTE</t>
  </si>
  <si>
    <t xml:space="preserve">AL DIA</t>
  </si>
  <si>
    <t xml:space="preserve">Jhon Isaias Muñoz Remolina</t>
  </si>
  <si>
    <t xml:space="preserve">x</t>
  </si>
  <si>
    <t xml:space="preserve">Lady Marlene Gallego Montoya</t>
  </si>
  <si>
    <t xml:space="preserve">ABONO 30  ABR</t>
  </si>
  <si>
    <t xml:space="preserve">Jhon Edison Puerto Jiménez</t>
  </si>
  <si>
    <t xml:space="preserve">SYNERGY</t>
  </si>
  <si>
    <t xml:space="preserve">HASTA 30 MAY</t>
  </si>
  <si>
    <t xml:space="preserve">JOHAN YESID MORENO SARMIENTO</t>
  </si>
  <si>
    <t xml:space="preserve">P</t>
  </si>
  <si>
    <t xml:space="preserve">PAGO CON CHEQUE CESANTIAS</t>
  </si>
  <si>
    <t xml:space="preserve">AL DIA </t>
  </si>
  <si>
    <t xml:space="preserve">Cesar Augusto Ramirez</t>
  </si>
  <si>
    <t xml:space="preserve">ESPERANDO CER FUNDAMENTOS</t>
  </si>
  <si>
    <t xml:space="preserve">Miguel Ángel zambrano Sánchez</t>
  </si>
  <si>
    <t xml:space="preserve">ITIL 5 Fundamentos</t>
  </si>
  <si>
    <t xml:space="preserve">Janner Mauricio Giraldo Daza</t>
  </si>
  <si>
    <t xml:space="preserve">PEAR</t>
  </si>
  <si>
    <t xml:space="preserve">Omar Jose Diaz Campuzano</t>
  </si>
  <si>
    <t xml:space="preserve">Brayan Stiven Moreno Valdes</t>
  </si>
  <si>
    <t xml:space="preserve">ximena</t>
  </si>
  <si>
    <t xml:space="preserve">ABONO 05 JUN</t>
  </si>
  <si>
    <t xml:space="preserve">05 ABR 05 MAY 05 JUN</t>
  </si>
  <si>
    <t xml:space="preserve">Eliana Lizeth Florez Gonzalez</t>
  </si>
  <si>
    <t xml:space="preserve">scrum po</t>
  </si>
  <si>
    <t xml:space="preserve">María Teresa Ortiz Covaleda</t>
  </si>
  <si>
    <t xml:space="preserve">20 may y 01 jun</t>
  </si>
  <si>
    <t xml:space="preserve">Sabrina Bastos</t>
  </si>
  <si>
    <t xml:space="preserve">ITIL V5</t>
  </si>
  <si>
    <t xml:space="preserve">pendiente x fecha compromiso de pago</t>
  </si>
  <si>
    <t xml:space="preserve">Liliana Bustos</t>
  </si>
  <si>
    <t xml:space="preserve">Alvaro Enrique Rodriguez Chaves</t>
  </si>
  <si>
    <t xml:space="preserve">TOGAF 10</t>
  </si>
  <si>
    <t xml:space="preserve">Jose Nelson Nariño Naranjo</t>
  </si>
  <si>
    <t xml:space="preserve">María del Carmen Bolaño Cortissoz</t>
  </si>
  <si>
    <t xml:space="preserve">Rosa Helena Barrera</t>
  </si>
  <si>
    <t xml:space="preserve">30 may y 30 jun</t>
  </si>
  <si>
    <t xml:space="preserve">Colvatel</t>
  </si>
  <si>
    <t xml:space="preserve">Juan Camilo Corredor Espinosa</t>
  </si>
  <si>
    <t xml:space="preserve">PENDIENTE CP</t>
  </si>
  <si>
    <t xml:space="preserve">Édgar Raúl Quintero Rojas</t>
  </si>
  <si>
    <t xml:space="preserve">Nelson Saul Gonzalez Jimenez</t>
  </si>
  <si>
    <t xml:space="preserve">AGILE C+L</t>
  </si>
  <si>
    <t xml:space="preserve">PENDIENTE CO</t>
  </si>
  <si>
    <t xml:space="preserve">brayan steven ortiz gil</t>
  </si>
  <si>
    <t xml:space="preserve">P CP</t>
  </si>
  <si>
    <t xml:space="preserve">Oscar Chocontá Pérez</t>
  </si>
  <si>
    <t xml:space="preserve">ANGELA LILIETH MENDEZ MATAMOROS</t>
  </si>
  <si>
    <t xml:space="preserve">ISO 27001 TCERT</t>
  </si>
  <si>
    <t xml:space="preserve">p cp</t>
  </si>
  <si>
    <t xml:space="preserve">Jennifer Andrea Joyas Rodriguez</t>
  </si>
  <si>
    <t xml:space="preserve">LEIDY JANNETH SORIANO CASTAÑEDA</t>
  </si>
  <si>
    <t xml:space="preserve">Angélica Jazmín Soler Barrera</t>
  </si>
  <si>
    <t xml:space="preserve">Jorge Andrés Díaz Torres</t>
  </si>
  <si>
    <t xml:space="preserve">Esneyder Herreño</t>
  </si>
  <si>
    <t xml:space="preserve">ERICK RAMON ORTIZ FIGUEROA</t>
  </si>
  <si>
    <t xml:space="preserve">Luis Eduardo Peña Plazas</t>
  </si>
  <si>
    <t xml:space="preserve">Natalia Fernanda Huertas Rodriguez</t>
  </si>
  <si>
    <t xml:space="preserve">Diana Carolina Rodriguez</t>
  </si>
  <si>
    <t xml:space="preserve">Diego Alexander González Calvo</t>
  </si>
  <si>
    <t xml:space="preserve">Maria Soraya Serna Torres</t>
  </si>
  <si>
    <t xml:space="preserve">31 jul y 31 ago</t>
  </si>
  <si>
    <t xml:space="preserve">Niver Alberto López Gómez</t>
  </si>
  <si>
    <t xml:space="preserve">itil v5</t>
  </si>
  <si>
    <t xml:space="preserve">Mauricio Villate Granados</t>
  </si>
  <si>
    <t xml:space="preserve">Juan Diego Salcedo García</t>
  </si>
  <si>
    <t xml:space="preserve">JAVIER CUBILLOS CASTRO</t>
  </si>
  <si>
    <t xml:space="preserve">Miguel Ángel Martinez Moreno</t>
  </si>
  <si>
    <t xml:space="preserve">Laura Maria Contreras Velandia</t>
  </si>
  <si>
    <t xml:space="preserve">Laura Sofía Carmona Mina</t>
  </si>
  <si>
    <t xml:space="preserve">Andrea Olarte Trujillo</t>
  </si>
  <si>
    <t xml:space="preserve">Jorge Andrés Castañeda Muñoz</t>
  </si>
  <si>
    <t xml:space="preserve">Sara Valentina Rivera Chiquillo</t>
  </si>
  <si>
    <t xml:space="preserve">Elias Alejandro Lopez Palacios</t>
  </si>
  <si>
    <t xml:space="preserve">ISO42001 27 JUL</t>
  </si>
  <si>
    <t xml:space="preserve">(vacío)</t>
  </si>
  <si>
    <t xml:space="preserve">Total Resultado</t>
  </si>
  <si>
    <t xml:space="preserve">VENTAS TOTALES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</si>
</sst>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$ &quot;#,##0"/>
    <numFmt numFmtId="166" formatCode="[$$-240A]\ #,##0"/>
    <numFmt numFmtId="167" formatCode="m/d/yyyy"/>
    <numFmt numFmtId="168" formatCode="d\-mmm"/>
    <numFmt numFmtId="169" formatCode="d/mm/yyyy"/>
    <numFmt numFmtId="170" formatCode="\$#,##0;[RED]&quot;-$&quot;#,##0"/>
    <numFmt numFmtId="171" formatCode="[$$-240A]\ #,##0."/>
    <numFmt numFmtId="172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9E1F2"/>
      <name val="Calibri"/>
      <family val="0"/>
      <charset val="1"/>
    </font>
    <font>
      <i val="true"/>
      <sz val="9"/>
      <color rgb="FFBFBFB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9.5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theme="0"/>
      <name val="Calibri"/>
      <family val="2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7F6000"/>
      <name val="Calibri"/>
      <family val="0"/>
      <charset val="1"/>
    </font>
    <font>
      <sz val="9"/>
      <color rgb="FF595959"/>
      <name val="Calibri"/>
      <family val="2"/>
    </font>
    <font>
      <b val="true"/>
      <sz val="16"/>
      <color theme="2"/>
      <name val="Calibri"/>
      <family val="2"/>
      <charset val="1"/>
    </font>
    <font>
      <b val="true"/>
      <sz val="22"/>
      <color theme="2"/>
      <name val="Calibri"/>
      <family val="2"/>
      <charset val="1"/>
    </font>
    <font>
      <sz val="18"/>
      <color rgb="FFFFFFFF"/>
      <name val="Calibri"/>
      <family val="2"/>
    </font>
    <font>
      <sz val="9"/>
      <color rgb="FF404040"/>
      <name val="Calibri"/>
      <family val="2"/>
    </font>
    <font>
      <b val="true"/>
      <sz val="16"/>
      <color rgb="FFFFFFFF"/>
      <name val="Calibri"/>
      <family val="2"/>
    </font>
    <font>
      <sz val="9"/>
      <color rgb="FF632E62"/>
      <name val="Calibri"/>
      <family val="2"/>
    </font>
    <font>
      <sz val="9"/>
      <color rgb="FFFFFFFF"/>
      <name val="Calibri"/>
      <family val="2"/>
    </font>
    <font>
      <b val="true"/>
      <sz val="18"/>
      <color rgb="FFFFFFFF"/>
      <name val="Calibri"/>
      <family val="2"/>
    </font>
    <font>
      <sz val="20"/>
      <color rgb="FFFFFFFF"/>
      <name val="Calibri"/>
      <family val="2"/>
    </font>
    <font>
      <b val="true"/>
      <sz val="9"/>
      <color rgb="FFFFFFFF"/>
      <name val="Calibri"/>
      <family val="2"/>
    </font>
    <font>
      <b val="true"/>
      <sz val="14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597"/>
        <bgColor rgb="FF1F3864"/>
      </patternFill>
    </fill>
    <fill>
      <patternFill patternType="solid">
        <fgColor rgb="FF0F9ED5"/>
        <bgColor rgb="FF00B0F0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AE5EB"/>
      </patternFill>
    </fill>
    <fill>
      <patternFill patternType="solid">
        <fgColor theme="4"/>
        <bgColor rgb="FF6E1D6B"/>
      </patternFill>
    </fill>
    <fill>
      <patternFill patternType="solid">
        <fgColor rgb="FFBF8F00"/>
        <bgColor rgb="FFED7D31"/>
      </patternFill>
    </fill>
    <fill>
      <patternFill patternType="solid">
        <fgColor rgb="FF92D050"/>
        <bgColor rgb="FFBFBFBF"/>
      </patternFill>
    </fill>
    <fill>
      <patternFill patternType="solid">
        <fgColor rgb="FFFFF2CC"/>
        <bgColor rgb="FFF2F2F2"/>
      </patternFill>
    </fill>
    <fill>
      <patternFill patternType="solid">
        <fgColor theme="4" tint="0.7999"/>
        <bgColor rgb="FFD9D9D9"/>
      </patternFill>
    </fill>
    <fill>
      <patternFill patternType="solid">
        <fgColor theme="4" tint="-0.25"/>
        <bgColor rgb="FF632E62"/>
      </patternFill>
    </fill>
    <fill>
      <patternFill patternType="solid">
        <fgColor theme="4" tint="0.5999"/>
        <bgColor rgb="FFBFBFBF"/>
      </patternFill>
    </fill>
    <fill>
      <patternFill patternType="solid">
        <fgColor rgb="FF00B0F0"/>
        <bgColor rgb="FF0F9ED5"/>
      </patternFill>
    </fill>
    <fill>
      <patternFill patternType="solid">
        <fgColor rgb="FFFFC000"/>
        <bgColor rgb="FFFFFF00"/>
      </patternFill>
    </fill>
    <fill>
      <patternFill patternType="solid">
        <fgColor theme="8" tint="0.3999"/>
        <bgColor rgb="FF99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1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egoría de la tabla dinámica" xfId="20"/>
    <cellStyle name="Esquina de la tabla dinámica" xfId="21"/>
    <cellStyle name="Campo de la tabla dinámica" xfId="22"/>
    <cellStyle name="Resultado de la tabla dinámica" xfId="23"/>
    <cellStyle name="Título de la tabla dinámica" xfId="24"/>
    <cellStyle name="Valor de la tabla dinámica" xfId="25"/>
  </cellStyles>
  <dxfs count="7">
    <dxf>
      <fill>
        <patternFill patternType="solid">
          <fgColor rgb="FF00B0F0"/>
          <bgColor rgb="FF000000"/>
        </patternFill>
      </fill>
    </dxf>
    <dxf>
      <fill>
        <patternFill patternType="solid">
          <fgColor rgb="FF6E1D6B"/>
          <bgColor rgb="FF000000"/>
        </patternFill>
      </fill>
    </dxf>
    <dxf>
      <fill>
        <patternFill patternType="solid">
          <fgColor rgb="FF8FC9F4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F9ED5"/>
      <rgbColor rgb="FFBFBFBF"/>
      <rgbColor rgb="FF878787"/>
      <rgbColor rgb="FF8FC9F4"/>
      <rgbColor rgb="FF92278F"/>
      <rgbColor rgb="FFFFF2CC"/>
      <rgbColor rgb="FFF2F2F2"/>
      <rgbColor rgb="FF6E1D6B"/>
      <rgbColor rgb="FFFF8080"/>
      <rgbColor rgb="FF2E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1F2"/>
      <rgbColor rgb="FFEAE5EB"/>
      <rgbColor rgb="FFFFFF99"/>
      <rgbColor rgb="FF99CCFF"/>
      <rgbColor rgb="FFE498E1"/>
      <rgbColor rgb="FF9B57D3"/>
      <rgbColor rgb="FFF1CCF0"/>
      <rgbColor rgb="FF6445E8"/>
      <rgbColor rgb="FF33CCCC"/>
      <rgbColor rgb="FF92D050"/>
      <rgbColor rgb="FFFFC000"/>
      <rgbColor rgb="FFBF8F00"/>
      <rgbColor rgb="FFED7D31"/>
      <rgbColor rgb="FF665EB8"/>
      <rgbColor rgb="FF755DD9"/>
      <rgbColor rgb="FF1F3864"/>
      <rgbColor rgb="FF548235"/>
      <rgbColor rgb="FF003300"/>
      <rgbColor rgb="FF595959"/>
      <rgbColor rgb="FF993300"/>
      <rgbColor rgb="FF632E62"/>
      <rgbColor rgb="FF4F37A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Distribución de registros por estado de cartera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Dashboard!D14</c:f>
              <c:strCache>
                <c:ptCount val="1"/>
                <c:pt idx="0">
                  <c:v>N° registros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b57d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55dd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65eb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Dashboard!$B$15:$B$18</c:f>
              <c:strCache>
                <c:ptCount val="4"/>
                <c:pt idx="0">
                  <c:v>Al día</c:v>
                </c:pt>
                <c:pt idx="1">
                  <c:v>Pendiente / Compromiso</c:v>
                </c:pt>
                <c:pt idx="2">
                  <c:v>Sin respuesta / Inactivo</c:v>
                </c:pt>
                <c:pt idx="3">
                  <c:v>Sin gestionar</c:v>
                </c:pt>
              </c:strCache>
            </c:strRef>
          </c:cat>
          <c:val>
            <c:numRef>
              <c:f>Dashboard!$D$15:$D$18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2</c:v>
                </c:pt>
                <c:pt idx="3">
                  <c:v>44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Cartera ($) por estado de cartera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Cartera ($)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&quot;$ &quot;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Dashboard!$B$15:$B$18</c:f>
              <c:strCache>
                <c:ptCount val="4"/>
                <c:pt idx="0">
                  <c:v>Al día</c:v>
                </c:pt>
                <c:pt idx="1">
                  <c:v>Pendiente / Compromiso</c:v>
                </c:pt>
                <c:pt idx="2">
                  <c:v>Sin respuesta / Inactivo</c:v>
                </c:pt>
                <c:pt idx="3">
                  <c:v>Sin gestionar</c:v>
                </c:pt>
              </c:strCache>
            </c:strRef>
          </c:cat>
          <c:val>
            <c:numRef>
              <c:f>Dashboard!$C$15:$C$18</c:f>
              <c:numCache>
                <c:formatCode>"$ "#,##0</c:formatCode>
                <c:ptCount val="4"/>
                <c:pt idx="0">
                  <c:v>6040000</c:v>
                </c:pt>
                <c:pt idx="1">
                  <c:v>9069967</c:v>
                </c:pt>
                <c:pt idx="2">
                  <c:v>5100000</c:v>
                </c:pt>
                <c:pt idx="3">
                  <c:v>35777000</c:v>
                </c:pt>
              </c:numCache>
            </c:numRef>
          </c:val>
        </c:ser>
        <c:gapWidth val="150"/>
        <c:overlap val="0"/>
        <c:axId val="90112535"/>
        <c:axId val="74872203"/>
      </c:barChart>
      <c:catAx>
        <c:axId val="90112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872203"/>
        <c:crosses val="autoZero"/>
        <c:auto val="1"/>
        <c:lblAlgn val="ctr"/>
        <c:lblOffset val="100"/>
        <c:noMultiLvlLbl val="0"/>
      </c:catAx>
      <c:valAx>
        <c:axId val="74872203"/>
        <c:scaling>
          <c:orientation val="minMax"/>
        </c:scaling>
        <c:delete val="0"/>
        <c:axPos val="l"/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125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Cartera ($)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Dashboard!C22</c:f>
              <c:strCache>
                <c:ptCount val="1"/>
                <c:pt idx="0">
                  <c:v>Cartera ($)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&quot;$ &quot;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Dashboard!$B$23:$B$25</c:f>
              <c:strCache>
                <c:ptCount val="3"/>
                <c:pt idx="0">
                  <c:v>Ximena</c:v>
                </c:pt>
                <c:pt idx="1">
                  <c:v>Carolina</c:v>
                </c:pt>
                <c:pt idx="2">
                  <c:v>Sebas</c:v>
                </c:pt>
              </c:strCache>
            </c:strRef>
          </c:cat>
          <c:val>
            <c:numRef>
              <c:f>Dashboard!$C$23:$C$25</c:f>
              <c:numCache>
                <c:formatCode>"$ "#,##0</c:formatCode>
                <c:ptCount val="3"/>
                <c:pt idx="0">
                  <c:v>22661967</c:v>
                </c:pt>
                <c:pt idx="1">
                  <c:v>17915000</c:v>
                </c:pt>
                <c:pt idx="2">
                  <c:v>14410000</c:v>
                </c:pt>
              </c:numCache>
            </c:numRef>
          </c:val>
        </c:ser>
        <c:gapWidth val="150"/>
        <c:overlap val="0"/>
        <c:axId val="77200827"/>
        <c:axId val="49411374"/>
      </c:barChart>
      <c:catAx>
        <c:axId val="772008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11374"/>
        <c:crosses val="autoZero"/>
        <c:auto val="1"/>
        <c:lblAlgn val="ctr"/>
        <c:lblOffset val="100"/>
        <c:noMultiLvlLbl val="0"/>
      </c:catAx>
      <c:valAx>
        <c:axId val="49411374"/>
        <c:scaling>
          <c:orientation val="minMax"/>
        </c:scaling>
        <c:delete val="0"/>
        <c:axPos val="l"/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2008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Cartera ($) por categoría de servicio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Dashboard!C29</c:f>
              <c:strCache>
                <c:ptCount val="1"/>
                <c:pt idx="0">
                  <c:v>Cartera ($)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&quot;$ &quot;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Dashboard!$B$30:$B$42</c:f>
              <c:strCache>
                <c:ptCount val="13"/>
                <c:pt idx="0">
                  <c:v>ITIL</c:v>
                </c:pt>
                <c:pt idx="1">
                  <c:v>ISO 27001</c:v>
                </c:pt>
                <c:pt idx="2">
                  <c:v>ISO 42001</c:v>
                </c:pt>
                <c:pt idx="3">
                  <c:v>Otras ISO</c:v>
                </c:pt>
                <c:pt idx="4">
                  <c:v>SCRUM</c:v>
                </c:pt>
                <c:pt idx="5">
                  <c:v>BRIDGE</c:v>
                </c:pt>
                <c:pt idx="6">
                  <c:v>CDS</c:v>
                </c:pt>
                <c:pt idx="7">
                  <c:v>TOGAF</c:v>
                </c:pt>
                <c:pt idx="8">
                  <c:v>DPI</c:v>
                </c:pt>
                <c:pt idx="9">
                  <c:v>DITS</c:v>
                </c:pt>
                <c:pt idx="10">
                  <c:v>AGILE</c:v>
                </c:pt>
                <c:pt idx="11">
                  <c:v>Ciberseguridad</c:v>
                </c:pt>
                <c:pt idx="12">
                  <c:v>Sin definir</c:v>
                </c:pt>
              </c:strCache>
            </c:strRef>
          </c:cat>
          <c:val>
            <c:numRef>
              <c:f>Dashboard!$C$30:$C$42</c:f>
              <c:numCache>
                <c:formatCode>"$ "#,##0</c:formatCode>
                <c:ptCount val="13"/>
                <c:pt idx="0">
                  <c:v>16932000</c:v>
                </c:pt>
                <c:pt idx="1">
                  <c:v>4374967</c:v>
                </c:pt>
                <c:pt idx="2">
                  <c:v>800000</c:v>
                </c:pt>
                <c:pt idx="3">
                  <c:v>2200000</c:v>
                </c:pt>
                <c:pt idx="4">
                  <c:v>1735000</c:v>
                </c:pt>
                <c:pt idx="5">
                  <c:v>2860000</c:v>
                </c:pt>
                <c:pt idx="6">
                  <c:v>3590000</c:v>
                </c:pt>
                <c:pt idx="7">
                  <c:v>1000000</c:v>
                </c:pt>
                <c:pt idx="8">
                  <c:v>1950000</c:v>
                </c:pt>
                <c:pt idx="9">
                  <c:v>3150000</c:v>
                </c:pt>
                <c:pt idx="10">
                  <c:v>390000</c:v>
                </c:pt>
                <c:pt idx="11">
                  <c:v>1350000</c:v>
                </c:pt>
                <c:pt idx="12">
                  <c:v>15655000</c:v>
                </c:pt>
              </c:numCache>
            </c:numRef>
          </c:val>
        </c:ser>
        <c:gapWidth val="150"/>
        <c:overlap val="0"/>
        <c:axId val="69311662"/>
        <c:axId val="95645371"/>
      </c:barChart>
      <c:catAx>
        <c:axId val="693116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645371"/>
        <c:crosses val="autoZero"/>
        <c:auto val="1"/>
        <c:lblAlgn val="ctr"/>
        <c:lblOffset val="100"/>
        <c:noMultiLvlLbl val="0"/>
      </c:catAx>
      <c:valAx>
        <c:axId val="95645371"/>
        <c:scaling>
          <c:orientation val="minMax"/>
        </c:scaling>
        <c:delete val="0"/>
        <c:axPos val="l"/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3116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Cartera ($) por antigüedad de mora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Dashboard!C45</c:f>
              <c:strCache>
                <c:ptCount val="1"/>
                <c:pt idx="0">
                  <c:v>Cartera ($)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&quot;$ &quot;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Dashboard!$B$46:$B$49</c:f>
              <c:strCache>
                <c:ptCount val="4"/>
                <c:pt idx="0">
                  <c:v>1-3 meses</c:v>
                </c:pt>
                <c:pt idx="1">
                  <c:v>4-6 meses</c:v>
                </c:pt>
                <c:pt idx="2">
                  <c:v>+6 meses</c:v>
                </c:pt>
                <c:pt idx="3">
                  <c:v>Sin dato registrado</c:v>
                </c:pt>
              </c:strCache>
            </c:strRef>
          </c:cat>
          <c:val>
            <c:numRef>
              <c:f>Dashboard!$C$46:$C$49</c:f>
              <c:numCache>
                <c:formatCode>"$ "#,##0</c:formatCode>
                <c:ptCount val="4"/>
                <c:pt idx="0">
                  <c:v>0</c:v>
                </c:pt>
                <c:pt idx="1">
                  <c:v>3507000</c:v>
                </c:pt>
                <c:pt idx="2">
                  <c:v>290000</c:v>
                </c:pt>
                <c:pt idx="3">
                  <c:v>52189967</c:v>
                </c:pt>
              </c:numCache>
            </c:numRef>
          </c:val>
        </c:ser>
        <c:gapWidth val="150"/>
        <c:overlap val="0"/>
        <c:axId val="8949894"/>
        <c:axId val="55415302"/>
      </c:barChart>
      <c:catAx>
        <c:axId val="89498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15302"/>
        <c:crosses val="autoZero"/>
        <c:auto val="1"/>
        <c:lblAlgn val="ctr"/>
        <c:lblOffset val="100"/>
        <c:noMultiLvlLbl val="0"/>
      </c:catAx>
      <c:valAx>
        <c:axId val="55415302"/>
        <c:scaling>
          <c:orientation val="minMax"/>
        </c:scaling>
        <c:delete val="0"/>
        <c:axPos val="l"/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498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Top 10 — Mayor saldo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Dashboard!I14</c:f>
              <c:strCache>
                <c:ptCount val="1"/>
                <c:pt idx="0">
                  <c:v>Saldo ($)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&quot;$ &quot;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Dashboard!$H$15:$H$24</c:f>
              <c:strCache>
                <c:ptCount val="10"/>
                <c:pt idx="0">
                  <c:v>Gabriel Enrique Moreno Pérez</c:v>
                </c:pt>
                <c:pt idx="1">
                  <c:v>Jhon Isaias Muñoz Remolina</c:v>
                </c:pt>
                <c:pt idx="2">
                  <c:v>Jhon Edison Puerto Jiménez</c:v>
                </c:pt>
                <c:pt idx="3">
                  <c:v>Cesar Augusto Ramirez</c:v>
                </c:pt>
                <c:pt idx="4">
                  <c:v>JOHAN YESID MORENO SARMIENTO</c:v>
                </c:pt>
                <c:pt idx="5">
                  <c:v>Andrea Olarte Trujillo</c:v>
                </c:pt>
                <c:pt idx="6">
                  <c:v>Natalia Fernanda Huertas Rodriguez</c:v>
                </c:pt>
                <c:pt idx="7">
                  <c:v>Niver Alberto López Gómez</c:v>
                </c:pt>
                <c:pt idx="8">
                  <c:v>Juan Diego Salcedo García</c:v>
                </c:pt>
                <c:pt idx="9">
                  <c:v>Mauricio Villate Granados</c:v>
                </c:pt>
              </c:strCache>
            </c:strRef>
          </c:cat>
          <c:val>
            <c:numRef>
              <c:f>Dashboard!$I$15:$I$24</c:f>
              <c:numCache>
                <c:formatCode>"$ "#,##0</c:formatCode>
                <c:ptCount val="10"/>
                <c:pt idx="0">
                  <c:v>3150000</c:v>
                </c:pt>
                <c:pt idx="1">
                  <c:v>2390000</c:v>
                </c:pt>
                <c:pt idx="2">
                  <c:v>2050000</c:v>
                </c:pt>
                <c:pt idx="3">
                  <c:v>1950000</c:v>
                </c:pt>
                <c:pt idx="4">
                  <c:v>1850000</c:v>
                </c:pt>
                <c:pt idx="5">
                  <c:v>1750000</c:v>
                </c:pt>
                <c:pt idx="6">
                  <c:v>1600000</c:v>
                </c:pt>
                <c:pt idx="7">
                  <c:v>1600000</c:v>
                </c:pt>
                <c:pt idx="8">
                  <c:v>1500000</c:v>
                </c:pt>
                <c:pt idx="9">
                  <c:v>1470000</c:v>
                </c:pt>
              </c:numCache>
            </c:numRef>
          </c:val>
        </c:ser>
        <c:gapWidth val="150"/>
        <c:overlap val="0"/>
        <c:axId val="454086"/>
        <c:axId val="19406691"/>
      </c:barChart>
      <c:catAx>
        <c:axId val="4540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06691"/>
        <c:crosses val="autoZero"/>
        <c:auto val="1"/>
        <c:lblAlgn val="ctr"/>
        <c:lblOffset val="100"/>
        <c:noMultiLvlLbl val="0"/>
      </c:catAx>
      <c:valAx>
        <c:axId val="19406691"/>
        <c:scaling>
          <c:orientation val="maxMin"/>
        </c:scaling>
        <c:delete val="0"/>
        <c:axPos val="l"/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40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DSB!$B$3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755dd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DSB!$A$4:$A$6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DSB!$B$4:$B$6</c:f>
              <c:numCache>
                <c:formatCode>General</c:formatCode>
                <c:ptCount val="3"/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DSB!$B$19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DSB!$A$20:$A$32</c:f>
              <c:strCach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strCache>
            </c:strRef>
          </c:cat>
          <c:val>
            <c:numRef>
              <c:f>DSB!$B$20:$B$32</c:f>
              <c:numCache>
                <c:formatCode>General</c:formatCode>
                <c:ptCount val="13"/>
              </c:numCache>
            </c:numRef>
          </c:val>
        </c:ser>
        <c:gapWidth val="219"/>
        <c:overlap val="-27"/>
        <c:axId val="75560591"/>
        <c:axId val="23226401"/>
      </c:barChart>
      <c:catAx>
        <c:axId val="755605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3226401"/>
        <c:crosses val="autoZero"/>
        <c:auto val="1"/>
        <c:lblAlgn val="ctr"/>
        <c:lblOffset val="100"/>
        <c:noMultiLvlLbl val="0"/>
      </c:catAx>
      <c:valAx>
        <c:axId val="232264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$-240A]\ 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55605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DSB!$B$39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755dd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DSB!$A$40:$A$42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DSB!$B$40:$B$42</c:f>
              <c:numCache>
                <c:formatCode>General</c:formatCode>
                <c:ptCount val="3"/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DSB!$B$54</c:f>
              <c:strCache>
                <c:ptCount val="1"/>
                <c:pt idx="0">
                  <c:v>(vacío)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DSB!$A$55:$A$56</c:f>
              <c:strCache>
                <c:ptCount val="2"/>
                <c:pt idx="0">
                  <c:v>Carolina</c:v>
                </c:pt>
                <c:pt idx="1">
                  <c:v>Sebas</c:v>
                </c:pt>
              </c:strCache>
            </c:strRef>
          </c:cat>
          <c:val>
            <c:numRef>
              <c:f>DSB!$B$55:$B$56</c:f>
              <c:numCache>
                <c:formatCode>General</c:formatCode>
                <c:ptCount val="2"/>
              </c:numCache>
            </c:numRef>
          </c:val>
        </c:ser>
        <c:gapWidth val="182"/>
        <c:overlap val="0"/>
        <c:axId val="1928682"/>
        <c:axId val="69580322"/>
      </c:barChart>
      <c:catAx>
        <c:axId val="19286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9580322"/>
        <c:crosses val="autoZero"/>
        <c:auto val="1"/>
        <c:lblAlgn val="ctr"/>
        <c:lblOffset val="100"/>
        <c:noMultiLvlLbl val="0"/>
      </c:catAx>
      <c:valAx>
        <c:axId val="695803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$-240A]\ 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9286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DSB!$B$69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DSB!$A$70:$A$71</c:f>
              <c:strCache>
                <c:ptCount val="2"/>
                <c:pt idx="0">
                  <c:v/>
                </c:pt>
                <c:pt idx="1">
                  <c:v/>
                </c:pt>
              </c:strCache>
            </c:strRef>
          </c:cat>
          <c:val>
            <c:numRef>
              <c:f>DSB!$B$70:$B$71</c:f>
              <c:numCache>
                <c:formatCode>General</c:formatCode>
                <c:ptCount val="2"/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DSB!$B$85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DSB!$A$86:$A$91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DSB!$B$86:$B$91</c:f>
              <c:numCache>
                <c:formatCode>General</c:formatCode>
                <c:ptCount val="6"/>
              </c:numCache>
            </c:numRef>
          </c:val>
        </c:ser>
        <c:gapWidth val="219"/>
        <c:overlap val="-27"/>
        <c:axId val="59824045"/>
        <c:axId val="16640789"/>
      </c:barChart>
      <c:catAx>
        <c:axId val="598240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6640789"/>
        <c:crosses val="autoZero"/>
        <c:auto val="1"/>
        <c:lblAlgn val="ctr"/>
        <c:lblOffset val="100"/>
        <c:noMultiLvlLbl val="0"/>
      </c:catAx>
      <c:valAx>
        <c:axId val="166407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$-240A]\ 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98240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800" strike="noStrike" u="none">
                <a:solidFill>
                  <a:srgbClr val="ffffff"/>
                </a:solidFill>
                <a:uFillTx/>
                <a:latin typeface="Calibri"/>
              </a:rPr>
              <a:t>VENTAS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4698315873226"/>
          <c:y val="0.215061215061215"/>
          <c:w val="0.569619413870839"/>
          <c:h val="0.78031878031878"/>
        </c:manualLayout>
      </c:layout>
      <c:doughnutChart>
        <c:varyColors val="1"/>
        <c:ser>
          <c:idx val="0"/>
          <c:order val="0"/>
          <c:tx>
            <c:strRef>
              <c:f>DSB!$B$3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755dd9"/>
              </a:solidFill>
              <a:ln w="0">
                <a:noFill/>
              </a:ln>
            </c:spPr>
          </c:dPt>
          <c:dLbls>
            <c:numFmt formatCode="[$$-240A]\ #,##0." sourceLinked="1"/>
            <c:dLbl>
              <c:idx val="0"/>
              <c:numFmt formatCode="[$$-240A]\ #,##0." sourceLinked="1"/>
              <c:spPr>
                <a:solidFill>
                  <a:srgbClr val="000000"/>
                </a:solidFill>
              </c:spPr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[$$-240A]\ #,##0." sourceLinked="1"/>
              <c:spPr>
                <a:solidFill>
                  <a:srgbClr val="000000"/>
                </a:solidFill>
              </c:spPr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[$$-240A]\ #,##0." sourceLinked="1"/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DSB!$A$4:$A$6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DSB!$B$4:$B$6</c:f>
              <c:numCache>
                <c:formatCode>General</c:formatCode>
                <c:ptCount val="3"/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s-CO" sz="1600" strike="noStrike" u="none">
                <a:solidFill>
                  <a:srgbClr val="ffffff"/>
                </a:solidFill>
                <a:uFillTx/>
                <a:latin typeface="Calibri"/>
              </a:rPr>
              <a:t>VENTAS POR PRODUCTO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4524236983842"/>
          <c:y val="0.037184926378837"/>
          <c:w val="0.954578096947935"/>
          <c:h val="0.848265535313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DSB!$B$19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4f37af"/>
                </a:gs>
                <a:gs pos="80000">
                  <a:srgbClr val="6648e4"/>
                </a:gs>
                <a:gs pos="100000">
                  <a:srgbClr val="6445e8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[$$-240A]\ #,##0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632e62"/>
                    </a:solidFill>
                    <a:uFillTx/>
                    <a:latin typeface="Calibri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DSB!$A$20:$A$32</c:f>
              <c:strCach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strCache>
            </c:strRef>
          </c:cat>
          <c:val>
            <c:numRef>
              <c:f>DSB!$B$20:$B$32</c:f>
              <c:numCache>
                <c:formatCode>General</c:formatCode>
                <c:ptCount val="13"/>
              </c:numCache>
            </c:numRef>
          </c:val>
        </c:ser>
        <c:gapWidth val="30"/>
        <c:overlap val="-27"/>
        <c:axId val="52967083"/>
        <c:axId val="52942433"/>
      </c:barChart>
      <c:catAx>
        <c:axId val="529670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fffff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52942433"/>
        <c:crosses val="autoZero"/>
        <c:auto val="1"/>
        <c:lblAlgn val="ctr"/>
        <c:lblOffset val="100"/>
        <c:noMultiLvlLbl val="0"/>
      </c:catAx>
      <c:valAx>
        <c:axId val="52942433"/>
        <c:scaling>
          <c:orientation val="minMax"/>
        </c:scaling>
        <c:delete val="0"/>
        <c:axPos val="l"/>
        <c:numFmt formatCode="[$$-240A]\ #,##0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632e62"/>
                </a:solidFill>
                <a:uFillTx/>
                <a:latin typeface="Calibri"/>
              </a:defRPr>
            </a:pPr>
          </a:p>
        </c:txPr>
        <c:crossAx val="529670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s-CO" sz="1800" strike="noStrike" u="none">
                <a:solidFill>
                  <a:srgbClr val="ffffff"/>
                </a:solidFill>
                <a:uFillTx/>
                <a:latin typeface="Calibri"/>
              </a:rPr>
              <a:t>PORCENTAJE VENTAS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DSB!$B$39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4"/>
          <c:dPt>
            <c:idx val="0"/>
            <c:explosion val="4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explosion val="4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explosion val="4"/>
            <c:spPr>
              <a:solidFill>
                <a:srgbClr val="755dd9"/>
              </a:solidFill>
              <a:ln w="0">
                <a:noFill/>
              </a:ln>
            </c:spPr>
          </c:dPt>
          <c:dLbls>
            <c:numFmt formatCode="0.00%" sourceLinked="1"/>
            <c:dLbl>
              <c:idx val="0"/>
              <c:numFmt formatCode="0.00%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%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%" sourceLinked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b="0" sz="9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b="0" sz="9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DSB!$A$40:$A$42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DSB!$B$40:$B$42</c:f>
              <c:numCache>
                <c:formatCode>General</c:formatCode>
                <c:ptCount val="3"/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2000" strike="noStrike" u="none">
                <a:solidFill>
                  <a:srgbClr val="ffffff"/>
                </a:solidFill>
                <a:uFillTx/>
                <a:latin typeface="Calibri"/>
              </a:rPr>
              <a:t>VENTAS POR VENDEDOR</a:t>
            </a:r>
          </a:p>
        </c:rich>
      </c:tx>
      <c:layout>
        <c:manualLayout>
          <c:xMode val="edge"/>
          <c:yMode val="edge"/>
          <c:x val="0.322922209215707"/>
          <c:y val="0.00010499790004199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7478982654"/>
          <c:y val="0.0781184376312474"/>
          <c:w val="0.864318399489199"/>
          <c:h val="0.8987820243595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DSB!$B$54</c:f>
              <c:strCache>
                <c:ptCount val="1"/>
                <c:pt idx="0">
                  <c:v>(vacío)</c:v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[$$-240A]\ #,##0." sourceLinked="1"/>
            <c:txPr>
              <a:bodyPr wrap="square"/>
              <a:lstStyle/>
              <a:p>
                <a:pPr>
                  <a:defRPr b="1" sz="9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DSB!$A$55:$A$56</c:f>
              <c:strCache>
                <c:ptCount val="2"/>
                <c:pt idx="0">
                  <c:v>Carolina</c:v>
                </c:pt>
                <c:pt idx="1">
                  <c:v>Sebas</c:v>
                </c:pt>
              </c:strCache>
            </c:strRef>
          </c:cat>
          <c:val>
            <c:numRef>
              <c:f>DSB!$B$55:$B$56</c:f>
              <c:numCache>
                <c:formatCode>General</c:formatCode>
                <c:ptCount val="2"/>
              </c:numCache>
            </c:numRef>
          </c:val>
        </c:ser>
        <c:gapWidth val="30"/>
        <c:overlap val="-27"/>
        <c:axId val="66021130"/>
        <c:axId val="43246720"/>
      </c:barChart>
      <c:catAx>
        <c:axId val="660211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43246720"/>
        <c:crosses val="autoZero"/>
        <c:auto val="1"/>
        <c:lblAlgn val="ctr"/>
        <c:lblOffset val="100"/>
        <c:noMultiLvlLbl val="0"/>
      </c:catAx>
      <c:valAx>
        <c:axId val="43246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021130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600" strike="noStrike" u="none">
                <a:solidFill>
                  <a:srgbClr val="ffffff"/>
                </a:solidFill>
                <a:uFillTx/>
                <a:latin typeface="Calibri"/>
              </a:rPr>
              <a:t>VENTAS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DSB!$B$69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9b57d3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"/>
              <c:numFmt formatCode="0.00%" sourceLinked="1"/>
              <c:txPr>
                <a:bodyPr wrap="square"/>
                <a:lstStyle/>
                <a:p>
                  <a:pPr>
                    <a:defRPr b="1" sz="14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4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DSB!$A$70:$A$71</c:f>
              <c:strCache>
                <c:ptCount val="2"/>
                <c:pt idx="0">
                  <c:v/>
                </c:pt>
                <c:pt idx="1">
                  <c:v/>
                </c:pt>
              </c:strCache>
            </c:strRef>
          </c:cat>
          <c:val>
            <c:numRef>
              <c:f>DSB!$B$70:$B$71</c:f>
              <c:numCache>
                <c:formatCode>General</c:formatCode>
                <c:ptCount val="2"/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s-CO" sz="1400" strike="noStrike" u="none">
                <a:solidFill>
                  <a:srgbClr val="ffffff"/>
                </a:solidFill>
                <a:uFillTx/>
                <a:latin typeface="Calibri"/>
              </a:rPr>
              <a:t>VENTAS POR CIUDAD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DSB!$B$85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278f"/>
            </a:solidFill>
            <a:ln w="0">
              <a:noFill/>
            </a:ln>
          </c:spPr>
          <c:invertIfNegative val="0"/>
          <c:dLbls>
            <c:numFmt formatCode="[$$-240A]\ #,##0." sourceLinked="1"/>
            <c:spPr>
              <a:solidFill>
                <a:srgbClr val="4a2249"/>
              </a:solidFill>
            </c:spPr>
            <c:txPr>
              <a:bodyPr wrap="square"/>
              <a:lstStyle/>
              <a:p>
                <a:pPr>
                  <a:defRPr b="1" sz="9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DSB!$A$86:$A$91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DSB!$B$86:$B$91</c:f>
              <c:numCache>
                <c:formatCode>General</c:formatCode>
                <c:ptCount val="6"/>
              </c:numCache>
            </c:numRef>
          </c:val>
        </c:ser>
        <c:gapWidth val="30"/>
        <c:overlap val="-27"/>
        <c:axId val="86722851"/>
        <c:axId val="47699613"/>
      </c:barChart>
      <c:catAx>
        <c:axId val="867228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7699613"/>
        <c:crosses val="autoZero"/>
        <c:auto val="1"/>
        <c:lblAlgn val="ctr"/>
        <c:lblOffset val="100"/>
        <c:noMultiLvlLbl val="0"/>
      </c:catAx>
      <c:valAx>
        <c:axId val="4769961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22851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50</xdr:row>
      <xdr:rowOff>70560</xdr:rowOff>
    </xdr:from>
    <xdr:to>
      <xdr:col>6</xdr:col>
      <xdr:colOff>292680</xdr:colOff>
      <xdr:row>66</xdr:row>
      <xdr:rowOff>82080</xdr:rowOff>
    </xdr:to>
    <xdr:graphicFrame>
      <xdr:nvGraphicFramePr>
        <xdr:cNvPr id="0" name="Chart 1"/>
        <xdr:cNvGraphicFramePr/>
      </xdr:nvGraphicFramePr>
      <xdr:xfrm>
        <a:off x="176400" y="10043280"/>
        <a:ext cx="557928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50</xdr:row>
      <xdr:rowOff>70560</xdr:rowOff>
    </xdr:from>
    <xdr:to>
      <xdr:col>13</xdr:col>
      <xdr:colOff>292680</xdr:colOff>
      <xdr:row>66</xdr:row>
      <xdr:rowOff>82080</xdr:rowOff>
    </xdr:to>
    <xdr:graphicFrame>
      <xdr:nvGraphicFramePr>
        <xdr:cNvPr id="1" name="Chart 2"/>
        <xdr:cNvGraphicFramePr/>
      </xdr:nvGraphicFramePr>
      <xdr:xfrm>
        <a:off x="7577280" y="10043280"/>
        <a:ext cx="557928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67</xdr:row>
      <xdr:rowOff>70200</xdr:rowOff>
    </xdr:from>
    <xdr:to>
      <xdr:col>6</xdr:col>
      <xdr:colOff>292680</xdr:colOff>
      <xdr:row>83</xdr:row>
      <xdr:rowOff>81720</xdr:rowOff>
    </xdr:to>
    <xdr:graphicFrame>
      <xdr:nvGraphicFramePr>
        <xdr:cNvPr id="2" name="Chart 3"/>
        <xdr:cNvGraphicFramePr/>
      </xdr:nvGraphicFramePr>
      <xdr:xfrm>
        <a:off x="176400" y="1328148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67</xdr:row>
      <xdr:rowOff>70200</xdr:rowOff>
    </xdr:from>
    <xdr:to>
      <xdr:col>13</xdr:col>
      <xdr:colOff>292680</xdr:colOff>
      <xdr:row>88</xdr:row>
      <xdr:rowOff>29160</xdr:rowOff>
    </xdr:to>
    <xdr:graphicFrame>
      <xdr:nvGraphicFramePr>
        <xdr:cNvPr id="3" name="Chart 4"/>
        <xdr:cNvGraphicFramePr/>
      </xdr:nvGraphicFramePr>
      <xdr:xfrm>
        <a:off x="7577280" y="13281480"/>
        <a:ext cx="55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88</xdr:row>
      <xdr:rowOff>70560</xdr:rowOff>
    </xdr:from>
    <xdr:to>
      <xdr:col>6</xdr:col>
      <xdr:colOff>292680</xdr:colOff>
      <xdr:row>104</xdr:row>
      <xdr:rowOff>81720</xdr:rowOff>
    </xdr:to>
    <xdr:graphicFrame>
      <xdr:nvGraphicFramePr>
        <xdr:cNvPr id="4" name="Chart 5"/>
        <xdr:cNvGraphicFramePr/>
      </xdr:nvGraphicFramePr>
      <xdr:xfrm>
        <a:off x="176400" y="17282160"/>
        <a:ext cx="55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88</xdr:row>
      <xdr:rowOff>70560</xdr:rowOff>
    </xdr:from>
    <xdr:to>
      <xdr:col>13</xdr:col>
      <xdr:colOff>292680</xdr:colOff>
      <xdr:row>109</xdr:row>
      <xdr:rowOff>29160</xdr:rowOff>
    </xdr:to>
    <xdr:graphicFrame>
      <xdr:nvGraphicFramePr>
        <xdr:cNvPr id="5" name="Chart 6"/>
        <xdr:cNvGraphicFramePr/>
      </xdr:nvGraphicFramePr>
      <xdr:xfrm>
        <a:off x="7577280" y="17282160"/>
        <a:ext cx="55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548640</xdr:colOff>
      <xdr:row>0</xdr:row>
      <xdr:rowOff>0</xdr:rowOff>
    </xdr:from>
    <xdr:to>
      <xdr:col>7</xdr:col>
      <xdr:colOff>532800</xdr:colOff>
      <xdr:row>12</xdr:row>
      <xdr:rowOff>121320</xdr:rowOff>
    </xdr:to>
    <xdr:graphicFrame>
      <xdr:nvGraphicFramePr>
        <xdr:cNvPr id="6" name="Chart 1"/>
        <xdr:cNvGraphicFramePr/>
      </xdr:nvGraphicFramePr>
      <xdr:xfrm>
        <a:off x="4314240" y="0"/>
        <a:ext cx="3746520" cy="240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675720</xdr:colOff>
      <xdr:row>16</xdr:row>
      <xdr:rowOff>156960</xdr:rowOff>
    </xdr:from>
    <xdr:to>
      <xdr:col>8</xdr:col>
      <xdr:colOff>497160</xdr:colOff>
      <xdr:row>31</xdr:row>
      <xdr:rowOff>156240</xdr:rowOff>
    </xdr:to>
    <xdr:graphicFrame>
      <xdr:nvGraphicFramePr>
        <xdr:cNvPr id="7" name="Chart 2"/>
        <xdr:cNvGraphicFramePr/>
      </xdr:nvGraphicFramePr>
      <xdr:xfrm>
        <a:off x="4441320" y="3205080"/>
        <a:ext cx="4336200" cy="28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524880</xdr:colOff>
      <xdr:row>33</xdr:row>
      <xdr:rowOff>152280</xdr:rowOff>
    </xdr:from>
    <xdr:to>
      <xdr:col>8</xdr:col>
      <xdr:colOff>351720</xdr:colOff>
      <xdr:row>48</xdr:row>
      <xdr:rowOff>91080</xdr:rowOff>
    </xdr:to>
    <xdr:graphicFrame>
      <xdr:nvGraphicFramePr>
        <xdr:cNvPr id="8" name="Chart 3"/>
        <xdr:cNvGraphicFramePr/>
      </xdr:nvGraphicFramePr>
      <xdr:xfrm>
        <a:off x="4290480" y="6438960"/>
        <a:ext cx="4341600" cy="279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280440</xdr:colOff>
      <xdr:row>51</xdr:row>
      <xdr:rowOff>95040</xdr:rowOff>
    </xdr:from>
    <xdr:to>
      <xdr:col>8</xdr:col>
      <xdr:colOff>107280</xdr:colOff>
      <xdr:row>66</xdr:row>
      <xdr:rowOff>33840</xdr:rowOff>
    </xdr:to>
    <xdr:graphicFrame>
      <xdr:nvGraphicFramePr>
        <xdr:cNvPr id="9" name="Chart 4"/>
        <xdr:cNvGraphicFramePr/>
      </xdr:nvGraphicFramePr>
      <xdr:xfrm>
        <a:off x="4046040" y="9810720"/>
        <a:ext cx="4341600" cy="279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150840</xdr:colOff>
      <xdr:row>67</xdr:row>
      <xdr:rowOff>166680</xdr:rowOff>
    </xdr:from>
    <xdr:to>
      <xdr:col>8</xdr:col>
      <xdr:colOff>15840</xdr:colOff>
      <xdr:row>82</xdr:row>
      <xdr:rowOff>105480</xdr:rowOff>
    </xdr:to>
    <xdr:graphicFrame>
      <xdr:nvGraphicFramePr>
        <xdr:cNvPr id="10" name="Chart 5"/>
        <xdr:cNvGraphicFramePr/>
      </xdr:nvGraphicFramePr>
      <xdr:xfrm>
        <a:off x="3916440" y="12930120"/>
        <a:ext cx="4379760" cy="279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7200</xdr:colOff>
      <xdr:row>84</xdr:row>
      <xdr:rowOff>66240</xdr:rowOff>
    </xdr:from>
    <xdr:to>
      <xdr:col>7</xdr:col>
      <xdr:colOff>624600</xdr:colOff>
      <xdr:row>99</xdr:row>
      <xdr:rowOff>5040</xdr:rowOff>
    </xdr:to>
    <xdr:graphicFrame>
      <xdr:nvGraphicFramePr>
        <xdr:cNvPr id="11" name="Chart 6"/>
        <xdr:cNvGraphicFramePr/>
      </xdr:nvGraphicFramePr>
      <xdr:xfrm>
        <a:off x="3772800" y="16068240"/>
        <a:ext cx="4379760" cy="279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0</xdr:row>
      <xdr:rowOff>0</xdr:rowOff>
    </xdr:from>
    <xdr:to>
      <xdr:col>4</xdr:col>
      <xdr:colOff>126000</xdr:colOff>
      <xdr:row>16</xdr:row>
      <xdr:rowOff>68400</xdr:rowOff>
    </xdr:to>
    <xdr:graphicFrame>
      <xdr:nvGraphicFramePr>
        <xdr:cNvPr id="12" name="Chart 1"/>
        <xdr:cNvGraphicFramePr/>
      </xdr:nvGraphicFramePr>
      <xdr:xfrm>
        <a:off x="12600" y="0"/>
        <a:ext cx="5429160" cy="311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217440</xdr:colOff>
      <xdr:row>0</xdr:row>
      <xdr:rowOff>0</xdr:rowOff>
    </xdr:from>
    <xdr:to>
      <xdr:col>11</xdr:col>
      <xdr:colOff>525600</xdr:colOff>
      <xdr:row>15</xdr:row>
      <xdr:rowOff>27000</xdr:rowOff>
    </xdr:to>
    <xdr:graphicFrame>
      <xdr:nvGraphicFramePr>
        <xdr:cNvPr id="13" name="Chart 2"/>
        <xdr:cNvGraphicFramePr/>
      </xdr:nvGraphicFramePr>
      <xdr:xfrm>
        <a:off x="5533200" y="0"/>
        <a:ext cx="6015240" cy="288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101520</xdr:colOff>
      <xdr:row>1</xdr:row>
      <xdr:rowOff>99360</xdr:rowOff>
    </xdr:from>
    <xdr:to>
      <xdr:col>18</xdr:col>
      <xdr:colOff>497520</xdr:colOff>
      <xdr:row>20</xdr:row>
      <xdr:rowOff>28440</xdr:rowOff>
    </xdr:to>
    <xdr:graphicFrame>
      <xdr:nvGraphicFramePr>
        <xdr:cNvPr id="14" name="Chart 3"/>
        <xdr:cNvGraphicFramePr/>
      </xdr:nvGraphicFramePr>
      <xdr:xfrm>
        <a:off x="11939760" y="289800"/>
        <a:ext cx="5288040" cy="354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235440</xdr:colOff>
      <xdr:row>19</xdr:row>
      <xdr:rowOff>9360</xdr:rowOff>
    </xdr:from>
    <xdr:to>
      <xdr:col>6</xdr:col>
      <xdr:colOff>54720</xdr:colOff>
      <xdr:row>37</xdr:row>
      <xdr:rowOff>8640</xdr:rowOff>
    </xdr:to>
    <xdr:graphicFrame>
      <xdr:nvGraphicFramePr>
        <xdr:cNvPr id="15" name="Chart 4"/>
        <xdr:cNvGraphicFramePr/>
      </xdr:nvGraphicFramePr>
      <xdr:xfrm>
        <a:off x="235440" y="3628800"/>
        <a:ext cx="6765480" cy="342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205560</xdr:colOff>
      <xdr:row>18</xdr:row>
      <xdr:rowOff>181800</xdr:rowOff>
    </xdr:from>
    <xdr:to>
      <xdr:col>11</xdr:col>
      <xdr:colOff>162000</xdr:colOff>
      <xdr:row>36</xdr:row>
      <xdr:rowOff>137520</xdr:rowOff>
    </xdr:to>
    <xdr:graphicFrame>
      <xdr:nvGraphicFramePr>
        <xdr:cNvPr id="16" name="Chart 5"/>
        <xdr:cNvGraphicFramePr/>
      </xdr:nvGraphicFramePr>
      <xdr:xfrm>
        <a:off x="5521320" y="3610800"/>
        <a:ext cx="5663520" cy="338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787320</xdr:colOff>
      <xdr:row>20</xdr:row>
      <xdr:rowOff>19800</xdr:rowOff>
    </xdr:from>
    <xdr:to>
      <xdr:col>16</xdr:col>
      <xdr:colOff>605880</xdr:colOff>
      <xdr:row>35</xdr:row>
      <xdr:rowOff>19080</xdr:rowOff>
    </xdr:to>
    <xdr:graphicFrame>
      <xdr:nvGraphicFramePr>
        <xdr:cNvPr id="17" name="Chart 6"/>
        <xdr:cNvGraphicFramePr/>
      </xdr:nvGraphicFramePr>
      <xdr:xfrm>
        <a:off x="10995120" y="3829680"/>
        <a:ext cx="47106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64440</xdr:colOff>
      <xdr:row>39</xdr:row>
      <xdr:rowOff>21240</xdr:rowOff>
    </xdr:from>
    <xdr:to>
      <xdr:col>1</xdr:col>
      <xdr:colOff>102240</xdr:colOff>
      <xdr:row>42</xdr:row>
      <xdr:rowOff>229680</xdr:rowOff>
    </xdr:to>
    <xdr:pic>
      <xdr:nvPicPr>
        <xdr:cNvPr id="18" name="Imagen 13" descr="Dinero con relleno sólido"/>
        <xdr:cNvPicPr/>
      </xdr:nvPicPr>
      <xdr:blipFill>
        <a:blip r:embed="rId7"/>
        <a:stretch/>
      </xdr:blipFill>
      <xdr:spPr>
        <a:xfrm>
          <a:off x="64440" y="7450920"/>
          <a:ext cx="853200" cy="85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1" createdVersion="3">
  <cacheSource type="worksheet">
    <worksheetSource ref="B1:L253" sheet="Ventas"/>
  </cacheSource>
  <cacheFields count="11">
    <cacheField name="Nombre completo " numFmtId="0">
      <sharedItems containsBlank="1" count="64">
        <s v="Alvaro Enrique Rodriguez Chaves"/>
        <s v="Andrea Olarte Trujillo"/>
        <s v="ANGELA LILIETH MENDEZ MATAMOROS"/>
        <s v="Angélica Jazmín Soler Barrera"/>
        <s v="brayan steven ortiz gil"/>
        <s v="Brayan Stiven Moreno Valdes"/>
        <s v="Cesar Augusto Ramirez"/>
        <s v="Diana Carolina Acuña Serrano"/>
        <s v="Diana Carolina Rodriguez"/>
        <s v="Diego Alexander González Calvo"/>
        <s v="Dorian Lizeth Vera Cano"/>
        <s v="Edgar Enrique Beltran Hernandez"/>
        <s v="Édgar Raúl Quintero Rojas"/>
        <s v="Eliana Lizeth Florez Gonzalez"/>
        <s v="Elias Alejandro Lopez Palacios"/>
        <s v="ERICK RAMON ORTIZ FIGUEROA"/>
        <s v="Esneyder Herreño"/>
        <s v="Froilán González Roa"/>
        <s v="Gabriel Enrique Moreno Pérez"/>
        <s v="Gelmer Parada Parada"/>
        <s v="Gianella Mendoza Ruiz"/>
        <s v="Janner Mauricio Giraldo Daza"/>
        <s v="JAVIER CUBILLOS CASTRO"/>
        <s v="Jennifer Andrea Joyas Rodriguez"/>
        <s v="Jhon Edison Puerto Jiménez"/>
        <s v="Jhon Isaias Muñoz Remolina"/>
        <s v="JOHAN YESID MORENO SARMIENTO"/>
        <s v="Jorge Andrés Castañeda Muñoz"/>
        <s v="Jorge Andrés Díaz Torres"/>
        <s v="José León Nuñez Oñate"/>
        <s v="Jose Nelson Nariño Naranjo"/>
        <s v="Juan Camilo Corredor Espinosa"/>
        <s v="Juan Diego Salcedo García"/>
        <s v="Juan Pablo Zambrano Sanchez"/>
        <s v="Karen Sirley Hernandez Morales"/>
        <s v="Lady Marlene Gallego Montoya"/>
        <s v="Laura Maria Contreras Velandia"/>
        <s v="Laura Sofía Carmona Mina"/>
        <s v="LEIDY JANNETH SORIANO CASTAÑEDA"/>
        <s v="Liliana Bustos"/>
        <s v="Luis Alberto Solarte Lopez"/>
        <s v="Luis Eduardo Peña Plazas"/>
        <s v="Luis Fernando Ramirez Cancelado"/>
        <s v="María del Carmen Bolaño Cortissoz"/>
        <s v="Maria Paula villamil"/>
        <s v="Maria Soraya Serna Torres"/>
        <s v="María Teresa Ortiz Covaleda"/>
        <s v="Mauricio Villate Granados"/>
        <s v="Meredith Ibarra Uyaban"/>
        <s v="Miguel Ángel Martinez Moreno"/>
        <s v="Miguel Ángel zambrano Sánchez"/>
        <s v="Natalia Fernanda Huertas Rodriguez"/>
        <s v="Nelson Saul Gonzalez Jimenez"/>
        <s v="Nilson Andres Urresti Gonzalez"/>
        <s v="Niver Alberto López Gómez"/>
        <s v="Omar Jose Diaz Campuzano"/>
        <s v="Oscar Chocontá Pérez"/>
        <s v="Osiris Yasbleidy Torres Gutierrez"/>
        <s v="Rosa Helena Barrera"/>
        <s v="Sabrina Bastos"/>
        <s v="Sara Valentina Rivera Chiquillo"/>
        <s v="Sindy Lorena Ortiz Gonzalez"/>
        <s v="Vivian Sanz Martelo"/>
        <m/>
      </sharedItems>
    </cacheField>
    <cacheField name="Fecha del contacto" numFmtId="0">
      <sharedItems containsNonDate="0" containsDate="1" containsString="0" containsBlank="1" minDate="2026-03-26T00:00:00" maxDate="2026-04-15T00:00:00" count="4">
        <d v="2026-03-26T00:00:00"/>
        <d v="2026-03-27T00:00:00"/>
        <d v="2026-04-15T00:00:00"/>
        <m/>
      </sharedItems>
    </cacheField>
    <cacheField name="Vendedor" numFmtId="0">
      <sharedItems containsBlank="1" count="4">
        <s v="Carolina"/>
        <s v="Sebas"/>
        <s v="Ximena"/>
        <m/>
      </sharedItems>
    </cacheField>
    <cacheField name="Servicio" numFmtId="0">
      <sharedItems containsBlank="1" count="20">
        <s v="AGILE C+L"/>
        <s v="BRIDGE"/>
        <s v="CDS"/>
        <s v="Ciberseguridad"/>
        <s v="DITS"/>
        <s v="DPI"/>
        <s v="ISO 22301"/>
        <s v="ISO 27001"/>
        <s v="ISO 27001 TCERT"/>
        <s v="ISO 42001"/>
        <s v="ISO42001 27 JUL"/>
        <s v="ITIL"/>
        <s v="ITIL 4 Fundamentos"/>
        <s v="ITIL 5 Fundamentos"/>
        <s v="ITIL V5"/>
        <s v="SCRUM gold"/>
        <s v="SCRUM Plus "/>
        <s v="scrum po"/>
        <s v="TOGAF 10"/>
        <m/>
      </sharedItems>
    </cacheField>
    <cacheField name="Estado de cobro" numFmtId="0">
      <sharedItems containsBlank="1" count="3">
        <s v="Curso y examen"/>
        <s v="M+PO"/>
        <m/>
      </sharedItems>
    </cacheField>
    <cacheField name="% interes de mora" numFmtId="0">
      <sharedItems containsBlank="1" count="16">
        <s v="30 may y 30 jun"/>
        <s v="CAMBIO AGILE A  ITIL "/>
        <s v="COMPROMISO DE PAGO"/>
        <s v="INCREMENTO"/>
        <s v="llamar"/>
        <s v="no"/>
        <s v="P"/>
        <s v="P CP"/>
        <s v="PENDIENTE"/>
        <s v="PENDIENTE CO"/>
        <s v="PENDIENTE CP"/>
        <s v="PENDIENTE POR INGRESAR CRUSO"/>
        <s v="pendiente x fecha compromiso de pago"/>
        <s v="PROCESO"/>
        <s v="SYNERGY"/>
        <m/>
      </sharedItems>
    </cacheField>
    <cacheField name="Valor de interes de mora" numFmtId="0">
      <sharedItems containsBlank="1" containsMixedTypes="1" containsNumber="1" containsInteger="1" minValue="100000" maxValue="110000" count="8">
        <n v="100000"/>
        <n v="110000"/>
        <s v="-"/>
        <s v="HASTA 30 MAY"/>
        <s v="no"/>
        <s v="P"/>
        <s v="X"/>
        <m/>
      </sharedItems>
    </cacheField>
    <cacheField name="Total a pagar" numFmtId="0">
      <sharedItems containsBlank="1" containsMixedTypes="1" containsNumber="1" containsInteger="1" minValue="190000" maxValue="3150000" count="40">
        <n v="190000"/>
        <n v="200000"/>
        <n v="250000"/>
        <n v="285000"/>
        <n v="290000"/>
        <n v="345000"/>
        <n v="350000"/>
        <n v="390000"/>
        <n v="400000"/>
        <n v="500000"/>
        <n v="594967"/>
        <n v="600000"/>
        <n v="640000"/>
        <n v="650000"/>
        <n v="660000"/>
        <n v="680000"/>
        <n v="790000"/>
        <n v="800000"/>
        <n v="850000"/>
        <n v="860000"/>
        <n v="890000"/>
        <n v="925000"/>
        <n v="975000"/>
        <n v="1000000"/>
        <n v="1200000"/>
        <n v="1267000"/>
        <n v="1400000"/>
        <n v="1450000"/>
        <n v="1470000"/>
        <n v="1500000"/>
        <n v="1600000"/>
        <n v="1750000"/>
        <n v="1850000"/>
        <n v="1950000"/>
        <n v="2050000"/>
        <n v="2390000"/>
        <n v="3150000"/>
        <s v="$1.000.000"/>
        <s v="$1.100.000"/>
        <m/>
      </sharedItems>
    </cacheField>
    <cacheField name="Fecha de compromiso de pago " numFmtId="0">
      <sharedItems containsDate="1" containsBlank="1" containsMixedTypes="1" minDate="2026-06-30T00:00:00" maxDate="2026-06-30T00:00:00" count="19">
        <d v="2026-06-30T00:00:00"/>
        <s v="-"/>
        <s v="05 ABR 05 MAY 05 JUN"/>
        <s v="20 may y 01 jun"/>
        <s v="31 jul y 31 ago"/>
        <s v="ABONO 05 JUN"/>
        <s v="ABONO 1 31 MAR Y ABONO 2 15 ABRIL"/>
        <s v="ABONO 10ABRIL "/>
        <s v="ABONO 15 ABR"/>
        <s v="ABONO 15 JUN"/>
        <s v="ABONO 16 ABR"/>
        <s v="ABONO 30  ABR"/>
        <s v="ABONO 30 ABR"/>
        <s v="ABONO 30ABR/31MAY/30JUN"/>
        <s v="ABONO 5 MAYO"/>
        <s v="abono1 27 de marzo hasta 15 mayo "/>
        <s v="P"/>
        <s v="PAGO CON CHEQUE CESANTIAS"/>
        <m/>
      </sharedItems>
    </cacheField>
    <cacheField name="Meses en mora " numFmtId="0">
      <sharedItems containsBlank="1" containsMixedTypes="1" containsNumber="1" containsInteger="1" minValue="3" maxValue="8" count="9">
        <n v="3"/>
        <n v="5"/>
        <n v="6"/>
        <n v="8"/>
        <s v="-"/>
        <s v="Colvatel"/>
        <s v="PEAR"/>
        <s v="X"/>
        <m/>
      </sharedItems>
    </cacheField>
    <cacheField name="Estado de cobro2" numFmtId="0">
      <sharedItems containsBlank="1" count="10">
        <s v="-"/>
        <s v="AL DIA"/>
        <s v="AL DIA "/>
        <s v="ESPERANDO CER FUNDAMENTOS"/>
        <s v="P"/>
        <s v="PAGO AL DIA"/>
        <s v="Pendiente"/>
        <s v="Pendiente X FECHA"/>
        <s v="QUIETO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">
  <r>
    <x v="17"/>
    <x v="2"/>
    <x v="0"/>
    <x v="12"/>
    <x v="0"/>
    <x v="5"/>
    <x v="4"/>
    <x v="20"/>
    <x v="14"/>
    <x v="0"/>
    <x v="5"/>
  </r>
  <r>
    <x v="34"/>
    <x v="0"/>
    <x v="2"/>
    <x v="16"/>
    <x v="1"/>
    <x v="3"/>
    <x v="0"/>
    <x v="4"/>
    <x v="6"/>
    <x v="3"/>
    <x v="6"/>
  </r>
  <r>
    <x v="11"/>
    <x v="0"/>
    <x v="2"/>
    <x v="12"/>
    <x v="0"/>
    <x v="3"/>
    <x v="6"/>
    <x v="0"/>
    <x v="15"/>
    <x v="2"/>
    <x v="5"/>
  </r>
  <r>
    <x v="29"/>
    <x v="1"/>
    <x v="2"/>
    <x v="12"/>
    <x v="0"/>
    <x v="13"/>
    <x v="0"/>
    <x v="18"/>
    <x v="18"/>
    <x v="2"/>
    <x v="9"/>
  </r>
  <r>
    <x v="40"/>
    <x v="1"/>
    <x v="2"/>
    <x v="12"/>
    <x v="0"/>
    <x v="13"/>
    <x v="0"/>
    <x v="25"/>
    <x v="18"/>
    <x v="2"/>
    <x v="9"/>
  </r>
  <r>
    <x v="33"/>
    <x v="1"/>
    <x v="2"/>
    <x v="6"/>
    <x v="0"/>
    <x v="13"/>
    <x v="1"/>
    <x v="24"/>
    <x v="18"/>
    <x v="1"/>
    <x v="9"/>
  </r>
  <r>
    <x v="10"/>
    <x v="1"/>
    <x v="2"/>
    <x v="19"/>
    <x v="2"/>
    <x v="1"/>
    <x v="7"/>
    <x v="39"/>
    <x v="18"/>
    <x v="8"/>
    <x v="9"/>
  </r>
  <r>
    <x v="62"/>
    <x v="3"/>
    <x v="3"/>
    <x v="19"/>
    <x v="2"/>
    <x v="2"/>
    <x v="6"/>
    <x v="37"/>
    <x v="7"/>
    <x v="7"/>
    <x v="5"/>
  </r>
  <r>
    <x v="61"/>
    <x v="3"/>
    <x v="1"/>
    <x v="15"/>
    <x v="2"/>
    <x v="2"/>
    <x v="6"/>
    <x v="38"/>
    <x v="9"/>
    <x v="8"/>
    <x v="7"/>
  </r>
  <r>
    <x v="57"/>
    <x v="3"/>
    <x v="1"/>
    <x v="3"/>
    <x v="2"/>
    <x v="2"/>
    <x v="6"/>
    <x v="18"/>
    <x v="8"/>
    <x v="8"/>
    <x v="5"/>
  </r>
  <r>
    <x v="20"/>
    <x v="3"/>
    <x v="1"/>
    <x v="12"/>
    <x v="2"/>
    <x v="2"/>
    <x v="6"/>
    <x v="22"/>
    <x v="12"/>
    <x v="8"/>
    <x v="5"/>
  </r>
  <r>
    <x v="42"/>
    <x v="3"/>
    <x v="2"/>
    <x v="3"/>
    <x v="2"/>
    <x v="2"/>
    <x v="6"/>
    <x v="9"/>
    <x v="10"/>
    <x v="8"/>
    <x v="7"/>
  </r>
  <r>
    <x v="48"/>
    <x v="3"/>
    <x v="2"/>
    <x v="7"/>
    <x v="2"/>
    <x v="2"/>
    <x v="6"/>
    <x v="12"/>
    <x v="13"/>
    <x v="8"/>
    <x v="7"/>
  </r>
  <r>
    <x v="44"/>
    <x v="3"/>
    <x v="2"/>
    <x v="7"/>
    <x v="2"/>
    <x v="2"/>
    <x v="6"/>
    <x v="10"/>
    <x v="13"/>
    <x v="8"/>
    <x v="7"/>
  </r>
  <r>
    <x v="53"/>
    <x v="3"/>
    <x v="0"/>
    <x v="12"/>
    <x v="2"/>
    <x v="2"/>
    <x v="6"/>
    <x v="21"/>
    <x v="18"/>
    <x v="8"/>
    <x v="9"/>
  </r>
  <r>
    <x v="19"/>
    <x v="3"/>
    <x v="1"/>
    <x v="12"/>
    <x v="2"/>
    <x v="4"/>
    <x v="2"/>
    <x v="27"/>
    <x v="1"/>
    <x v="4"/>
    <x v="0"/>
  </r>
  <r>
    <x v="18"/>
    <x v="3"/>
    <x v="1"/>
    <x v="4"/>
    <x v="2"/>
    <x v="11"/>
    <x v="6"/>
    <x v="36"/>
    <x v="18"/>
    <x v="8"/>
    <x v="8"/>
  </r>
  <r>
    <x v="7"/>
    <x v="3"/>
    <x v="0"/>
    <x v="2"/>
    <x v="2"/>
    <x v="8"/>
    <x v="2"/>
    <x v="1"/>
    <x v="18"/>
    <x v="8"/>
    <x v="1"/>
  </r>
  <r>
    <x v="25"/>
    <x v="3"/>
    <x v="2"/>
    <x v="2"/>
    <x v="2"/>
    <x v="2"/>
    <x v="6"/>
    <x v="35"/>
    <x v="18"/>
    <x v="8"/>
    <x v="7"/>
  </r>
  <r>
    <x v="35"/>
    <x v="3"/>
    <x v="2"/>
    <x v="2"/>
    <x v="2"/>
    <x v="2"/>
    <x v="6"/>
    <x v="23"/>
    <x v="11"/>
    <x v="8"/>
    <x v="7"/>
  </r>
  <r>
    <x v="24"/>
    <x v="3"/>
    <x v="0"/>
    <x v="12"/>
    <x v="2"/>
    <x v="14"/>
    <x v="3"/>
    <x v="34"/>
    <x v="18"/>
    <x v="8"/>
    <x v="9"/>
  </r>
  <r>
    <x v="26"/>
    <x v="3"/>
    <x v="0"/>
    <x v="12"/>
    <x v="2"/>
    <x v="6"/>
    <x v="5"/>
    <x v="32"/>
    <x v="17"/>
    <x v="8"/>
    <x v="2"/>
  </r>
  <r>
    <x v="6"/>
    <x v="3"/>
    <x v="2"/>
    <x v="5"/>
    <x v="2"/>
    <x v="6"/>
    <x v="7"/>
    <x v="33"/>
    <x v="18"/>
    <x v="8"/>
    <x v="3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63"/>
    <x v="3"/>
    <x v="3"/>
    <x v="19"/>
    <x v="2"/>
    <x v="15"/>
    <x v="7"/>
    <x v="39"/>
    <x v="18"/>
    <x v="8"/>
    <x v="9"/>
  </r>
  <r>
    <x v="50"/>
    <x v="3"/>
    <x v="2"/>
    <x v="13"/>
    <x v="0"/>
    <x v="6"/>
    <x v="6"/>
    <x v="18"/>
    <x v="16"/>
    <x v="8"/>
    <x v="4"/>
  </r>
  <r>
    <x v="21"/>
    <x v="3"/>
    <x v="2"/>
    <x v="13"/>
    <x v="0"/>
    <x v="6"/>
    <x v="7"/>
    <x v="39"/>
    <x v="18"/>
    <x v="6"/>
    <x v="9"/>
  </r>
  <r>
    <x v="55"/>
    <x v="3"/>
    <x v="2"/>
    <x v="13"/>
    <x v="2"/>
    <x v="15"/>
    <x v="7"/>
    <x v="13"/>
    <x v="0"/>
    <x v="8"/>
    <x v="9"/>
  </r>
  <r>
    <x v="5"/>
    <x v="3"/>
    <x v="2"/>
    <x v="12"/>
    <x v="2"/>
    <x v="15"/>
    <x v="7"/>
    <x v="9"/>
    <x v="5"/>
    <x v="8"/>
    <x v="7"/>
  </r>
  <r>
    <x v="25"/>
    <x v="3"/>
    <x v="2"/>
    <x v="5"/>
    <x v="2"/>
    <x v="15"/>
    <x v="7"/>
    <x v="39"/>
    <x v="2"/>
    <x v="8"/>
    <x v="9"/>
  </r>
  <r>
    <x v="13"/>
    <x v="3"/>
    <x v="2"/>
    <x v="17"/>
    <x v="2"/>
    <x v="15"/>
    <x v="7"/>
    <x v="5"/>
    <x v="18"/>
    <x v="8"/>
    <x v="7"/>
  </r>
  <r>
    <x v="46"/>
    <x v="3"/>
    <x v="2"/>
    <x v="7"/>
    <x v="2"/>
    <x v="15"/>
    <x v="7"/>
    <x v="19"/>
    <x v="3"/>
    <x v="8"/>
    <x v="7"/>
  </r>
  <r>
    <x v="59"/>
    <x v="3"/>
    <x v="1"/>
    <x v="14"/>
    <x v="0"/>
    <x v="12"/>
    <x v="7"/>
    <x v="22"/>
    <x v="1"/>
    <x v="4"/>
    <x v="2"/>
  </r>
  <r>
    <x v="39"/>
    <x v="3"/>
    <x v="1"/>
    <x v="1"/>
    <x v="0"/>
    <x v="12"/>
    <x v="7"/>
    <x v="13"/>
    <x v="1"/>
    <x v="4"/>
    <x v="0"/>
  </r>
  <r>
    <x v="0"/>
    <x v="3"/>
    <x v="0"/>
    <x v="18"/>
    <x v="0"/>
    <x v="12"/>
    <x v="7"/>
    <x v="23"/>
    <x v="1"/>
    <x v="4"/>
    <x v="0"/>
  </r>
  <r>
    <x v="30"/>
    <x v="3"/>
    <x v="0"/>
    <x v="14"/>
    <x v="0"/>
    <x v="12"/>
    <x v="7"/>
    <x v="2"/>
    <x v="1"/>
    <x v="4"/>
    <x v="0"/>
  </r>
  <r>
    <x v="43"/>
    <x v="3"/>
    <x v="1"/>
    <x v="1"/>
    <x v="0"/>
    <x v="12"/>
    <x v="7"/>
    <x v="14"/>
    <x v="1"/>
    <x v="4"/>
    <x v="0"/>
  </r>
  <r>
    <x v="58"/>
    <x v="3"/>
    <x v="2"/>
    <x v="14"/>
    <x v="0"/>
    <x v="0"/>
    <x v="7"/>
    <x v="13"/>
    <x v="0"/>
    <x v="5"/>
    <x v="9"/>
  </r>
  <r>
    <x v="31"/>
    <x v="3"/>
    <x v="2"/>
    <x v="7"/>
    <x v="0"/>
    <x v="10"/>
    <x v="7"/>
    <x v="20"/>
    <x v="1"/>
    <x v="4"/>
    <x v="0"/>
  </r>
  <r>
    <x v="12"/>
    <x v="3"/>
    <x v="2"/>
    <x v="7"/>
    <x v="0"/>
    <x v="10"/>
    <x v="7"/>
    <x v="16"/>
    <x v="18"/>
    <x v="8"/>
    <x v="9"/>
  </r>
  <r>
    <x v="52"/>
    <x v="3"/>
    <x v="2"/>
    <x v="0"/>
    <x v="0"/>
    <x v="9"/>
    <x v="7"/>
    <x v="7"/>
    <x v="18"/>
    <x v="8"/>
    <x v="9"/>
  </r>
  <r>
    <x v="4"/>
    <x v="3"/>
    <x v="2"/>
    <x v="9"/>
    <x v="0"/>
    <x v="7"/>
    <x v="7"/>
    <x v="39"/>
    <x v="18"/>
    <x v="8"/>
    <x v="9"/>
  </r>
  <r>
    <x v="56"/>
    <x v="3"/>
    <x v="2"/>
    <x v="11"/>
    <x v="2"/>
    <x v="15"/>
    <x v="7"/>
    <x v="13"/>
    <x v="18"/>
    <x v="8"/>
    <x v="9"/>
  </r>
  <r>
    <x v="2"/>
    <x v="3"/>
    <x v="1"/>
    <x v="8"/>
    <x v="0"/>
    <x v="7"/>
    <x v="7"/>
    <x v="11"/>
    <x v="18"/>
    <x v="8"/>
    <x v="9"/>
  </r>
  <r>
    <x v="23"/>
    <x v="3"/>
    <x v="0"/>
    <x v="1"/>
    <x v="0"/>
    <x v="15"/>
    <x v="7"/>
    <x v="2"/>
    <x v="18"/>
    <x v="8"/>
    <x v="9"/>
  </r>
  <r>
    <x v="38"/>
    <x v="3"/>
    <x v="0"/>
    <x v="1"/>
    <x v="0"/>
    <x v="15"/>
    <x v="7"/>
    <x v="8"/>
    <x v="18"/>
    <x v="8"/>
    <x v="9"/>
  </r>
  <r>
    <x v="3"/>
    <x v="3"/>
    <x v="0"/>
    <x v="14"/>
    <x v="0"/>
    <x v="15"/>
    <x v="7"/>
    <x v="8"/>
    <x v="18"/>
    <x v="8"/>
    <x v="9"/>
  </r>
  <r>
    <x v="28"/>
    <x v="3"/>
    <x v="0"/>
    <x v="1"/>
    <x v="0"/>
    <x v="15"/>
    <x v="7"/>
    <x v="8"/>
    <x v="18"/>
    <x v="8"/>
    <x v="9"/>
  </r>
  <r>
    <x v="16"/>
    <x v="3"/>
    <x v="2"/>
    <x v="14"/>
    <x v="0"/>
    <x v="15"/>
    <x v="7"/>
    <x v="18"/>
    <x v="18"/>
    <x v="8"/>
    <x v="9"/>
  </r>
  <r>
    <x v="15"/>
    <x v="3"/>
    <x v="0"/>
    <x v="1"/>
    <x v="0"/>
    <x v="15"/>
    <x v="7"/>
    <x v="9"/>
    <x v="18"/>
    <x v="8"/>
    <x v="9"/>
  </r>
  <r>
    <x v="41"/>
    <x v="3"/>
    <x v="0"/>
    <x v="9"/>
    <x v="0"/>
    <x v="15"/>
    <x v="7"/>
    <x v="17"/>
    <x v="18"/>
    <x v="8"/>
    <x v="9"/>
  </r>
  <r>
    <x v="51"/>
    <x v="3"/>
    <x v="2"/>
    <x v="19"/>
    <x v="2"/>
    <x v="15"/>
    <x v="7"/>
    <x v="30"/>
    <x v="18"/>
    <x v="8"/>
    <x v="9"/>
  </r>
  <r>
    <x v="8"/>
    <x v="3"/>
    <x v="2"/>
    <x v="19"/>
    <x v="2"/>
    <x v="15"/>
    <x v="7"/>
    <x v="13"/>
    <x v="18"/>
    <x v="8"/>
    <x v="9"/>
  </r>
  <r>
    <x v="9"/>
    <x v="3"/>
    <x v="1"/>
    <x v="19"/>
    <x v="2"/>
    <x v="15"/>
    <x v="7"/>
    <x v="26"/>
    <x v="18"/>
    <x v="8"/>
    <x v="9"/>
  </r>
  <r>
    <x v="45"/>
    <x v="3"/>
    <x v="2"/>
    <x v="19"/>
    <x v="2"/>
    <x v="15"/>
    <x v="7"/>
    <x v="15"/>
    <x v="4"/>
    <x v="8"/>
    <x v="9"/>
  </r>
  <r>
    <x v="52"/>
    <x v="3"/>
    <x v="2"/>
    <x v="19"/>
    <x v="2"/>
    <x v="15"/>
    <x v="7"/>
    <x v="3"/>
    <x v="18"/>
    <x v="8"/>
    <x v="9"/>
  </r>
  <r>
    <x v="54"/>
    <x v="3"/>
    <x v="0"/>
    <x v="14"/>
    <x v="2"/>
    <x v="15"/>
    <x v="7"/>
    <x v="30"/>
    <x v="18"/>
    <x v="8"/>
    <x v="9"/>
  </r>
  <r>
    <x v="47"/>
    <x v="3"/>
    <x v="0"/>
    <x v="19"/>
    <x v="2"/>
    <x v="15"/>
    <x v="7"/>
    <x v="28"/>
    <x v="18"/>
    <x v="8"/>
    <x v="9"/>
  </r>
  <r>
    <x v="32"/>
    <x v="3"/>
    <x v="0"/>
    <x v="19"/>
    <x v="2"/>
    <x v="15"/>
    <x v="7"/>
    <x v="29"/>
    <x v="18"/>
    <x v="8"/>
    <x v="9"/>
  </r>
  <r>
    <x v="22"/>
    <x v="3"/>
    <x v="0"/>
    <x v="19"/>
    <x v="2"/>
    <x v="15"/>
    <x v="7"/>
    <x v="28"/>
    <x v="18"/>
    <x v="8"/>
    <x v="9"/>
  </r>
  <r>
    <x v="49"/>
    <x v="3"/>
    <x v="1"/>
    <x v="19"/>
    <x v="2"/>
    <x v="15"/>
    <x v="7"/>
    <x v="18"/>
    <x v="18"/>
    <x v="8"/>
    <x v="9"/>
  </r>
  <r>
    <x v="36"/>
    <x v="3"/>
    <x v="2"/>
    <x v="19"/>
    <x v="2"/>
    <x v="15"/>
    <x v="7"/>
    <x v="17"/>
    <x v="18"/>
    <x v="8"/>
    <x v="9"/>
  </r>
  <r>
    <x v="37"/>
    <x v="3"/>
    <x v="0"/>
    <x v="19"/>
    <x v="2"/>
    <x v="15"/>
    <x v="7"/>
    <x v="24"/>
    <x v="18"/>
    <x v="8"/>
    <x v="9"/>
  </r>
  <r>
    <x v="1"/>
    <x v="3"/>
    <x v="1"/>
    <x v="19"/>
    <x v="2"/>
    <x v="15"/>
    <x v="7"/>
    <x v="31"/>
    <x v="18"/>
    <x v="8"/>
    <x v="9"/>
  </r>
  <r>
    <x v="27"/>
    <x v="3"/>
    <x v="0"/>
    <x v="19"/>
    <x v="2"/>
    <x v="15"/>
    <x v="7"/>
    <x v="13"/>
    <x v="18"/>
    <x v="8"/>
    <x v="9"/>
  </r>
  <r>
    <x v="60"/>
    <x v="3"/>
    <x v="2"/>
    <x v="19"/>
    <x v="2"/>
    <x v="15"/>
    <x v="7"/>
    <x v="6"/>
    <x v="18"/>
    <x v="8"/>
    <x v="9"/>
  </r>
  <r>
    <x v="14"/>
    <x v="3"/>
    <x v="0"/>
    <x v="10"/>
    <x v="2"/>
    <x v="15"/>
    <x v="7"/>
    <x v="23"/>
    <x v="18"/>
    <x v="8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9:A40" firstHeaderRow="1" firstDataRow="1" firstDataCol="0"/>
  <pivotFields count="11">
    <pivotField compact="0" showAll="0"/>
    <pivotField compact="0"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Dinámica7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54:B59" firstHeaderRow="1" firstDataRow="1" firstDataCol="1"/>
  <pivotFields count="11">
    <pivotField compact="0" showAll="0"/>
    <pivotField compact="0" showAll="0"/>
    <pivotField axis="axisRow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 v="0"/>
    </i>
    <i>
      <x v="1"/>
    </i>
    <i>
      <x v="2"/>
    </i>
    <i>
      <x v="3"/>
    </i>
    <i t="grand">
      <x v="4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Dinámica8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69:A70" firstHeaderRow="1" firstDataRow="1" firstDataCol="0"/>
  <pivotFields count="11">
    <pivotField compact="0" showAll="0"/>
    <pivotField compact="0"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Dinámica9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85:A86" firstHeaderRow="1" firstDataRow="1" firstDataCol="0"/>
  <pivotFields count="11">
    <pivotField compact="0" showAll="0"/>
    <pivotField compact="0"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A4" firstHeaderRow="1" firstDataRow="1" firstDataCol="0"/>
  <pivotFields count="11">
    <pivotField compact="0" showAll="0"/>
    <pivotField compact="0"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19:A20" firstHeaderRow="1" firstDataRow="1" firstDataCol="0"/>
  <pivotFields count="11">
    <pivotField compact="0" showAll="0"/>
    <pivotField compact="0"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ventas" displayName="ventas" ref="B1:L253" headerRowCount="1" totalsRowCount="0" totalsRowShown="0">
  <autoFilter ref="B1:L253">
    <filterColumn colId="2">
      <filters>
        <filter val="Carolina"/>
      </filters>
    </filterColumn>
  </autoFilter>
  <tableColumns count="11">
    <tableColumn id="1" name="Nombre completo "/>
    <tableColumn id="2" name="Fecha del contacto"/>
    <tableColumn id="3" name="Vendedor"/>
    <tableColumn id="4" name="Servicio"/>
    <tableColumn id="5" name="Estado de cobro"/>
    <tableColumn id="6" name="% interes de mora"/>
    <tableColumn id="7" name="Valor de interes de mora"/>
    <tableColumn id="8" name="Total a pagar"/>
    <tableColumn id="9" name="Fecha de compromiso de pago "/>
    <tableColumn id="10" name="Meses en mora "/>
    <tableColumn id="11" name="Estado de cobro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Violeta II">
      <a:dk1>
        <a:srgbClr val="000000"/>
      </a:dk1>
      <a:lt1>
        <a:srgbClr val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68" activePane="bottomRight" state="frozen"/>
      <selection pane="topLeft" activeCell="A1" activeCellId="0" sqref="A1"/>
      <selection pane="topRight" activeCell="B1" activeCellId="0" sqref="B1"/>
      <selection pane="bottomLeft" activeCell="A68" activeCellId="0" sqref="A68"/>
      <selection pane="bottomRight" activeCell="B113" activeCellId="0" sqref="B1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.5"/>
    <col collapsed="false" customWidth="true" hidden="false" outlineLevel="0" max="14" min="2" style="1" width="15"/>
    <col collapsed="false" customWidth="true" hidden="false" outlineLevel="0" max="15" min="15" style="1" width="3"/>
  </cols>
  <sheetData>
    <row r="1" customFormat="false" ht="24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</row>
    <row r="2" customFormat="false" ht="1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customFormat="false" ht="15" hidden="false" customHeight="true" outlineLevel="0" collapsed="false">
      <c r="A3" s="2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</row>
    <row r="5" customFormat="false" ht="15.75" hidden="false" customHeight="true" outlineLevel="0" collapsed="false">
      <c r="B5" s="6" t="s">
        <v>3</v>
      </c>
      <c r="C5" s="6"/>
      <c r="D5" s="6"/>
      <c r="E5" s="7" t="s">
        <v>4</v>
      </c>
      <c r="F5" s="7"/>
      <c r="G5" s="7"/>
      <c r="H5" s="8" t="s">
        <v>5</v>
      </c>
      <c r="I5" s="8"/>
      <c r="J5" s="8"/>
      <c r="K5" s="9" t="s">
        <v>6</v>
      </c>
      <c r="L5" s="9"/>
      <c r="M5" s="10" t="s">
        <v>7</v>
      </c>
      <c r="N5" s="10"/>
    </row>
    <row r="6" customFormat="false" ht="15.75" hidden="false" customHeight="true" outlineLevel="0" collapsed="false">
      <c r="B6" s="6"/>
      <c r="C6" s="6"/>
      <c r="D6" s="6"/>
      <c r="E6" s="7"/>
      <c r="F6" s="7"/>
      <c r="G6" s="7"/>
      <c r="H6" s="8"/>
      <c r="I6" s="8"/>
      <c r="J6" s="8"/>
      <c r="K6" s="9"/>
      <c r="L6" s="9"/>
      <c r="M6" s="10"/>
      <c r="N6" s="10"/>
    </row>
    <row r="7" customFormat="false" ht="15.75" hidden="false" customHeight="true" outlineLevel="0" collapsed="false">
      <c r="B7" s="11" t="str">
        <f aca="false">TEXT(SUM(Ventas!M3:M306),"$ #,##0")</f>
        <v>$ 55,986,967</v>
      </c>
      <c r="C7" s="11"/>
      <c r="D7" s="11"/>
      <c r="E7" s="12" t="n">
        <f aca="false">COUNT(Ventas!M3:M306)</f>
        <v>64</v>
      </c>
      <c r="F7" s="12"/>
      <c r="G7" s="12"/>
      <c r="H7" s="13" t="str">
        <f aca="false">TEXT(AVERAGE(Ventas!M3:M306),"$ #,##0")</f>
        <v>$ 874,796</v>
      </c>
      <c r="I7" s="13"/>
      <c r="J7" s="13"/>
      <c r="K7" s="14" t="str">
        <f aca="false">TEXT(COUNTIF(Ventas!O3:O306,"Al día")/COUNT(Ventas!M3:M306),"0%")</f>
        <v>11%</v>
      </c>
      <c r="L7" s="14"/>
      <c r="M7" s="15" t="str">
        <f aca="false">TEXT(1-COUNTIF(Ventas!O3:O306,"Al día")/COUNT(Ventas!M3:M306),"0%")</f>
        <v>89%</v>
      </c>
      <c r="N7" s="15"/>
    </row>
    <row r="8" customFormat="false" ht="15.75" hidden="false" customHeight="true" outlineLevel="0" collapsed="false">
      <c r="B8" s="11"/>
      <c r="C8" s="11"/>
      <c r="D8" s="11"/>
      <c r="E8" s="12"/>
      <c r="F8" s="12"/>
      <c r="G8" s="12"/>
      <c r="H8" s="13"/>
      <c r="I8" s="13"/>
      <c r="J8" s="13"/>
      <c r="K8" s="14"/>
      <c r="L8" s="14"/>
      <c r="M8" s="15"/>
      <c r="N8" s="15"/>
    </row>
    <row r="9" customFormat="false" ht="15.75" hidden="false" customHeight="true" outlineLevel="0" collapsed="false">
      <c r="B9" s="11"/>
      <c r="C9" s="11"/>
      <c r="D9" s="11"/>
      <c r="E9" s="12"/>
      <c r="F9" s="12"/>
      <c r="G9" s="12"/>
      <c r="H9" s="13"/>
      <c r="I9" s="13"/>
      <c r="J9" s="13"/>
      <c r="K9" s="14"/>
      <c r="L9" s="14"/>
      <c r="M9" s="15"/>
      <c r="N9" s="15"/>
    </row>
    <row r="11" customFormat="false" ht="19.5" hidden="false" customHeight="true" outlineLevel="0" collapsed="false">
      <c r="B11" s="16" t="str">
        <f aca="false">"Mayor saldo individual:  " &amp; INDEX(Ventas!B3:B306,MATCH(1,Ventas!R3:R306,0)) &amp; "   —   $" &amp; TEXT(INDEX(Ventas!M3:M306,MATCH(1,Ventas!R3:R306,0)),"#,##0") &amp; "   ·   Vendedor: " &amp; INDEX(Ventas!N3:N306,MATCH(1,Ventas!R3:R306,0))</f>
        <v>Mayor saldo individual:  Gabriel Enrique Moreno Pérez   —   $3,150,000   ·   Vendedor: Sebas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3" customFormat="false" ht="19.5" hidden="false" customHeight="true" outlineLevel="0" collapsed="false">
      <c r="B13" s="17" t="s">
        <v>8</v>
      </c>
      <c r="C13" s="17"/>
      <c r="D13" s="17"/>
      <c r="E13" s="17"/>
      <c r="F13" s="17"/>
      <c r="H13" s="17" t="s">
        <v>9</v>
      </c>
      <c r="I13" s="17"/>
      <c r="J13" s="17"/>
      <c r="K13" s="17"/>
      <c r="L13" s="17"/>
    </row>
    <row r="14" customFormat="false" ht="15" hidden="false" customHeight="true" outlineLevel="0" collapsed="false">
      <c r="B14" s="18" t="s">
        <v>10</v>
      </c>
      <c r="C14" s="18" t="s">
        <v>11</v>
      </c>
      <c r="D14" s="18" t="s">
        <v>12</v>
      </c>
      <c r="H14" s="18" t="s">
        <v>13</v>
      </c>
      <c r="I14" s="18" t="s">
        <v>14</v>
      </c>
      <c r="J14" s="18" t="s">
        <v>15</v>
      </c>
    </row>
    <row r="15" customFormat="false" ht="15" hidden="false" customHeight="true" outlineLevel="0" collapsed="false">
      <c r="B15" s="19" t="s">
        <v>16</v>
      </c>
      <c r="C15" s="20" t="n">
        <f aca="false">SUMIF(Ventas!$O$3:$O$306,B15,Ventas!$M$3:$M$306)</f>
        <v>6040000</v>
      </c>
      <c r="D15" s="19" t="n">
        <f aca="false">COUNTIF(Ventas!$O$3:$O$306,B15)</f>
        <v>7</v>
      </c>
      <c r="H15" s="19" t="str">
        <f aca="false">IFERROR(INDEX(Ventas!$B$3:$B$306,MATCH(1,Ventas!$R$3:$R$306,0)),"")</f>
        <v>Gabriel Enrique Moreno Pérez</v>
      </c>
      <c r="I15" s="20" t="n">
        <f aca="false">IFERROR(INDEX(Ventas!$M$3:$M$306,MATCH(1,Ventas!$R$3:$R$306,0)),"")</f>
        <v>3150000</v>
      </c>
      <c r="J15" s="19" t="str">
        <f aca="false">IFERROR(INDEX(Ventas!$N$3:$N$306,MATCH(1,Ventas!$R$3:$R$306,0)),"")</f>
        <v>Sebas</v>
      </c>
    </row>
    <row r="16" customFormat="false" ht="15" hidden="false" customHeight="true" outlineLevel="0" collapsed="false">
      <c r="B16" s="19" t="s">
        <v>17</v>
      </c>
      <c r="C16" s="20" t="n">
        <f aca="false">SUMIF(Ventas!$O$3:$O$306,B16,Ventas!$M$3:$M$306)</f>
        <v>9069967</v>
      </c>
      <c r="D16" s="19" t="n">
        <f aca="false">COUNTIF(Ventas!$O$3:$O$306,B16)</f>
        <v>11</v>
      </c>
      <c r="H16" s="19" t="str">
        <f aca="false">IFERROR(INDEX(Ventas!$B$3:$B$306,MATCH(2,Ventas!$R$3:$R$306,0)),"")</f>
        <v>Jhon Isaias Muñoz Remolina</v>
      </c>
      <c r="I16" s="20" t="n">
        <f aca="false">IFERROR(INDEX(Ventas!$M$3:$M$306,MATCH(2,Ventas!$R$3:$R$306,0)),"")</f>
        <v>2390000</v>
      </c>
      <c r="J16" s="19" t="str">
        <f aca="false">IFERROR(INDEX(Ventas!$N$3:$N$306,MATCH(2,Ventas!$R$3:$R$306,0)),"")</f>
        <v>Ximena</v>
      </c>
    </row>
    <row r="17" customFormat="false" ht="15" hidden="false" customHeight="true" outlineLevel="0" collapsed="false">
      <c r="B17" s="19" t="s">
        <v>18</v>
      </c>
      <c r="C17" s="20" t="n">
        <f aca="false">SUMIF(Ventas!$O$3:$O$306,B17,Ventas!$M$3:$M$306)</f>
        <v>5100000</v>
      </c>
      <c r="D17" s="19" t="n">
        <f aca="false">COUNTIF(Ventas!$O$3:$O$306,B17)</f>
        <v>2</v>
      </c>
      <c r="H17" s="19" t="str">
        <f aca="false">IFERROR(INDEX(Ventas!$B$3:$B$306,MATCH(3,Ventas!$R$3:$R$306,0)),"")</f>
        <v>Jhon Edison Puerto Jiménez</v>
      </c>
      <c r="I17" s="20" t="n">
        <f aca="false">IFERROR(INDEX(Ventas!$M$3:$M$306,MATCH(3,Ventas!$R$3:$R$306,0)),"")</f>
        <v>2050000</v>
      </c>
      <c r="J17" s="19" t="str">
        <f aca="false">IFERROR(INDEX(Ventas!$N$3:$N$306,MATCH(3,Ventas!$R$3:$R$306,0)),"")</f>
        <v>Carolina</v>
      </c>
    </row>
    <row r="18" customFormat="false" ht="15" hidden="false" customHeight="true" outlineLevel="0" collapsed="false">
      <c r="B18" s="19" t="s">
        <v>19</v>
      </c>
      <c r="C18" s="20" t="n">
        <f aca="false">SUMIF(Ventas!$O$3:$O$306,B18,Ventas!$M$3:$M$306)</f>
        <v>35777000</v>
      </c>
      <c r="D18" s="19" t="n">
        <f aca="false">COUNTIF(Ventas!$O$3:$O$306,B18)</f>
        <v>44</v>
      </c>
      <c r="H18" s="19" t="str">
        <f aca="false">IFERROR(INDEX(Ventas!$B$3:$B$306,MATCH(4,Ventas!$R$3:$R$306,0)),"")</f>
        <v>Cesar Augusto Ramirez</v>
      </c>
      <c r="I18" s="20" t="n">
        <f aca="false">IFERROR(INDEX(Ventas!$M$3:$M$306,MATCH(4,Ventas!$R$3:$R$306,0)),"")</f>
        <v>1950000</v>
      </c>
      <c r="J18" s="19" t="str">
        <f aca="false">IFERROR(INDEX(Ventas!$N$3:$N$306,MATCH(4,Ventas!$R$3:$R$306,0)),"")</f>
        <v>Ximena</v>
      </c>
    </row>
    <row r="19" customFormat="false" ht="15" hidden="false" customHeight="true" outlineLevel="0" collapsed="false">
      <c r="H19" s="19" t="str">
        <f aca="false">IFERROR(INDEX(Ventas!$B$3:$B$306,MATCH(5,Ventas!$R$3:$R$306,0)),"")</f>
        <v>JOHAN YESID MORENO SARMIENTO</v>
      </c>
      <c r="I19" s="20" t="n">
        <f aca="false">IFERROR(INDEX(Ventas!$M$3:$M$306,MATCH(5,Ventas!$R$3:$R$306,0)),"")</f>
        <v>1850000</v>
      </c>
      <c r="J19" s="19" t="str">
        <f aca="false">IFERROR(INDEX(Ventas!$N$3:$N$306,MATCH(5,Ventas!$R$3:$R$306,0)),"")</f>
        <v>Carolina</v>
      </c>
    </row>
    <row r="20" customFormat="false" ht="15" hidden="false" customHeight="true" outlineLevel="0" collapsed="false">
      <c r="H20" s="19" t="str">
        <f aca="false">IFERROR(INDEX(Ventas!$B$3:$B$306,MATCH(6,Ventas!$R$3:$R$306,0)),"")</f>
        <v>Andrea Olarte Trujillo</v>
      </c>
      <c r="I20" s="20" t="n">
        <f aca="false">IFERROR(INDEX(Ventas!$M$3:$M$306,MATCH(6,Ventas!$R$3:$R$306,0)),"")</f>
        <v>1750000</v>
      </c>
      <c r="J20" s="19" t="str">
        <f aca="false">IFERROR(INDEX(Ventas!$N$3:$N$306,MATCH(6,Ventas!$R$3:$R$306,0)),"")</f>
        <v>Sebas</v>
      </c>
    </row>
    <row r="21" customFormat="false" ht="19.5" hidden="false" customHeight="true" outlineLevel="0" collapsed="false">
      <c r="B21" s="17" t="s">
        <v>20</v>
      </c>
      <c r="C21" s="17"/>
      <c r="D21" s="17"/>
      <c r="E21" s="17"/>
      <c r="F21" s="17"/>
      <c r="H21" s="19" t="str">
        <f aca="false">IFERROR(INDEX(Ventas!$B$3:$B$306,MATCH(7,Ventas!$R$3:$R$306,0)),"")</f>
        <v>Natalia Fernanda Huertas Rodriguez</v>
      </c>
      <c r="I21" s="20" t="n">
        <f aca="false">IFERROR(INDEX(Ventas!$M$3:$M$306,MATCH(7,Ventas!$R$3:$R$306,0)),"")</f>
        <v>1600000</v>
      </c>
      <c r="J21" s="19" t="str">
        <f aca="false">IFERROR(INDEX(Ventas!$N$3:$N$306,MATCH(7,Ventas!$R$3:$R$306,0)),"")</f>
        <v>Ximena</v>
      </c>
    </row>
    <row r="22" customFormat="false" ht="15" hidden="false" customHeight="true" outlineLevel="0" collapsed="false">
      <c r="B22" s="18" t="s">
        <v>15</v>
      </c>
      <c r="C22" s="18" t="s">
        <v>11</v>
      </c>
      <c r="D22" s="18" t="s">
        <v>12</v>
      </c>
      <c r="H22" s="19" t="str">
        <f aca="false">IFERROR(INDEX(Ventas!$B$3:$B$306,MATCH(8,Ventas!$R$3:$R$306,0)),"")</f>
        <v>Niver Alberto López Gómez</v>
      </c>
      <c r="I22" s="20" t="n">
        <f aca="false">IFERROR(INDEX(Ventas!$M$3:$M$306,MATCH(8,Ventas!$R$3:$R$306,0)),"")</f>
        <v>1600000</v>
      </c>
      <c r="J22" s="19" t="str">
        <f aca="false">IFERROR(INDEX(Ventas!$N$3:$N$306,MATCH(8,Ventas!$R$3:$R$306,0)),"")</f>
        <v>Carolina</v>
      </c>
    </row>
    <row r="23" customFormat="false" ht="15" hidden="false" customHeight="true" outlineLevel="0" collapsed="false">
      <c r="B23" s="19" t="s">
        <v>21</v>
      </c>
      <c r="C23" s="20" t="n">
        <f aca="false">SUMIF(Ventas!$N$3:$N$306,B23,Ventas!$M$3:$M$306)</f>
        <v>22661967</v>
      </c>
      <c r="D23" s="19" t="n">
        <f aca="false">COUNTIF(Ventas!$N$3:$N$306,B23)</f>
        <v>32</v>
      </c>
      <c r="H23" s="19" t="str">
        <f aca="false">IFERROR(INDEX(Ventas!$B$3:$B$306,MATCH(9,Ventas!$R$3:$R$306,0)),"")</f>
        <v>Juan Diego Salcedo García</v>
      </c>
      <c r="I23" s="20" t="n">
        <f aca="false">IFERROR(INDEX(Ventas!$M$3:$M$306,MATCH(9,Ventas!$R$3:$R$306,0)),"")</f>
        <v>1500000</v>
      </c>
      <c r="J23" s="19" t="str">
        <f aca="false">IFERROR(INDEX(Ventas!$N$3:$N$306,MATCH(9,Ventas!$R$3:$R$306,0)),"")</f>
        <v>Carolina</v>
      </c>
    </row>
    <row r="24" customFormat="false" ht="15" hidden="false" customHeight="true" outlineLevel="0" collapsed="false">
      <c r="B24" s="19" t="s">
        <v>22</v>
      </c>
      <c r="C24" s="20" t="n">
        <f aca="false">SUMIF(Ventas!$N$3:$N$306,B24,Ventas!$M$3:$M$306)</f>
        <v>17915000</v>
      </c>
      <c r="D24" s="19" t="n">
        <f aca="false">COUNTIF(Ventas!$N$3:$N$306,B24)</f>
        <v>19</v>
      </c>
      <c r="H24" s="19" t="str">
        <f aca="false">IFERROR(INDEX(Ventas!$B$3:$B$306,MATCH(10,Ventas!$R$3:$R$306,0)),"")</f>
        <v>Mauricio Villate Granados</v>
      </c>
      <c r="I24" s="20" t="n">
        <f aca="false">IFERROR(INDEX(Ventas!$M$3:$M$306,MATCH(10,Ventas!$R$3:$R$306,0)),"")</f>
        <v>1470000</v>
      </c>
      <c r="J24" s="19" t="str">
        <f aca="false">IFERROR(INDEX(Ventas!$N$3:$N$306,MATCH(10,Ventas!$R$3:$R$306,0)),"")</f>
        <v>Carolina</v>
      </c>
    </row>
    <row r="25" customFormat="false" ht="15" hidden="false" customHeight="true" outlineLevel="0" collapsed="false">
      <c r="B25" s="19" t="s">
        <v>23</v>
      </c>
      <c r="C25" s="20" t="n">
        <f aca="false">SUMIF(Ventas!$N$3:$N$306,B25,Ventas!$M$3:$M$306)</f>
        <v>14410000</v>
      </c>
      <c r="D25" s="19" t="n">
        <f aca="false">COUNTIF(Ventas!$N$3:$N$306,B25)</f>
        <v>12</v>
      </c>
    </row>
    <row r="28" customFormat="false" ht="19.5" hidden="false" customHeight="true" outlineLevel="0" collapsed="false">
      <c r="B28" s="17" t="s">
        <v>24</v>
      </c>
      <c r="C28" s="17"/>
      <c r="D28" s="17"/>
      <c r="E28" s="17"/>
      <c r="F28" s="17"/>
    </row>
    <row r="29" customFormat="false" ht="15" hidden="false" customHeight="true" outlineLevel="0" collapsed="false">
      <c r="B29" s="18" t="s">
        <v>25</v>
      </c>
      <c r="C29" s="18" t="s">
        <v>11</v>
      </c>
      <c r="D29" s="18" t="s">
        <v>12</v>
      </c>
    </row>
    <row r="30" customFormat="false" ht="15" hidden="false" customHeight="true" outlineLevel="0" collapsed="false">
      <c r="B30" s="19" t="s">
        <v>26</v>
      </c>
      <c r="C30" s="20" t="n">
        <f aca="false">SUMIF(Ventas!$P$3:$P$306,B30,Ventas!$M$3:$M$306)</f>
        <v>16932000</v>
      </c>
      <c r="D30" s="19" t="n">
        <f aca="false">COUNTIF(Ventas!$P$3:$P$306,B30)</f>
        <v>19</v>
      </c>
    </row>
    <row r="31" customFormat="false" ht="15" hidden="false" customHeight="true" outlineLevel="0" collapsed="false">
      <c r="B31" s="19" t="s">
        <v>27</v>
      </c>
      <c r="C31" s="20" t="n">
        <f aca="false">SUMIF(Ventas!$P$3:$P$306,B31,Ventas!$M$3:$M$306)</f>
        <v>4374967</v>
      </c>
      <c r="D31" s="19" t="n">
        <f aca="false">COUNTIF(Ventas!$P$3:$P$306,B31)</f>
        <v>6</v>
      </c>
    </row>
    <row r="32" customFormat="false" ht="15" hidden="false" customHeight="true" outlineLevel="0" collapsed="false">
      <c r="B32" s="19" t="s">
        <v>28</v>
      </c>
      <c r="C32" s="20" t="n">
        <f aca="false">SUMIF(Ventas!$P$3:$P$306,B32,Ventas!$M$3:$M$306)</f>
        <v>800000</v>
      </c>
      <c r="D32" s="19" t="n">
        <f aca="false">COUNTIF(Ventas!$P$3:$P$306,B32)</f>
        <v>2</v>
      </c>
    </row>
    <row r="33" customFormat="false" ht="15" hidden="false" customHeight="true" outlineLevel="0" collapsed="false">
      <c r="B33" s="19" t="s">
        <v>29</v>
      </c>
      <c r="C33" s="20" t="n">
        <f aca="false">SUMIF(Ventas!$P$3:$P$306,B33,Ventas!$M$3:$M$306)</f>
        <v>2200000</v>
      </c>
      <c r="D33" s="19" t="n">
        <f aca="false">COUNTIF(Ventas!$P$3:$P$306,B33)</f>
        <v>2</v>
      </c>
    </row>
    <row r="34" customFormat="false" ht="15" hidden="false" customHeight="true" outlineLevel="0" collapsed="false">
      <c r="B34" s="19" t="s">
        <v>30</v>
      </c>
      <c r="C34" s="20" t="n">
        <f aca="false">SUMIF(Ventas!$P$3:$P$306,B34,Ventas!$M$3:$M$306)</f>
        <v>1735000</v>
      </c>
      <c r="D34" s="19" t="n">
        <f aca="false">COUNTIF(Ventas!$P$3:$P$306,B34)</f>
        <v>3</v>
      </c>
    </row>
    <row r="35" customFormat="false" ht="15" hidden="false" customHeight="true" outlineLevel="0" collapsed="false">
      <c r="B35" s="19" t="s">
        <v>31</v>
      </c>
      <c r="C35" s="20" t="n">
        <f aca="false">SUMIF(Ventas!$P$3:$P$306,B35,Ventas!$M$3:$M$306)</f>
        <v>2860000</v>
      </c>
      <c r="D35" s="19" t="n">
        <f aca="false">COUNTIF(Ventas!$P$3:$P$306,B35)</f>
        <v>6</v>
      </c>
    </row>
    <row r="36" customFormat="false" ht="15" hidden="false" customHeight="true" outlineLevel="0" collapsed="false">
      <c r="B36" s="19" t="s">
        <v>32</v>
      </c>
      <c r="C36" s="20" t="n">
        <f aca="false">SUMIF(Ventas!$P$3:$P$306,B36,Ventas!$M$3:$M$306)</f>
        <v>3590000</v>
      </c>
      <c r="D36" s="19" t="n">
        <f aca="false">COUNTIF(Ventas!$P$3:$P$306,B36)</f>
        <v>3</v>
      </c>
    </row>
    <row r="37" customFormat="false" ht="15" hidden="false" customHeight="true" outlineLevel="0" collapsed="false">
      <c r="B37" s="19" t="s">
        <v>33</v>
      </c>
      <c r="C37" s="20" t="n">
        <f aca="false">SUMIF(Ventas!$P$3:$P$306,B37,Ventas!$M$3:$M$306)</f>
        <v>1000000</v>
      </c>
      <c r="D37" s="19" t="n">
        <f aca="false">COUNTIF(Ventas!$P$3:$P$306,B37)</f>
        <v>1</v>
      </c>
    </row>
    <row r="38" customFormat="false" ht="15" hidden="false" customHeight="true" outlineLevel="0" collapsed="false">
      <c r="B38" s="19" t="s">
        <v>34</v>
      </c>
      <c r="C38" s="20" t="n">
        <f aca="false">SUMIF(Ventas!$P$3:$P$306,B38,Ventas!$M$3:$M$306)</f>
        <v>1950000</v>
      </c>
      <c r="D38" s="19" t="n">
        <f aca="false">COUNTIF(Ventas!$P$3:$P$306,B38)</f>
        <v>2</v>
      </c>
    </row>
    <row r="39" customFormat="false" ht="15" hidden="false" customHeight="true" outlineLevel="0" collapsed="false">
      <c r="B39" s="19" t="s">
        <v>35</v>
      </c>
      <c r="C39" s="20" t="n">
        <f aca="false">SUMIF(Ventas!$P$3:$P$306,B39,Ventas!$M$3:$M$306)</f>
        <v>3150000</v>
      </c>
      <c r="D39" s="19" t="n">
        <f aca="false">COUNTIF(Ventas!$P$3:$P$306,B39)</f>
        <v>1</v>
      </c>
    </row>
    <row r="40" customFormat="false" ht="15" hidden="false" customHeight="true" outlineLevel="0" collapsed="false">
      <c r="B40" s="19" t="s">
        <v>36</v>
      </c>
      <c r="C40" s="20" t="n">
        <f aca="false">SUMIF(Ventas!$P$3:$P$306,B40,Ventas!$M$3:$M$306)</f>
        <v>390000</v>
      </c>
      <c r="D40" s="19" t="n">
        <f aca="false">COUNTIF(Ventas!$P$3:$P$306,B40)</f>
        <v>1</v>
      </c>
    </row>
    <row r="41" customFormat="false" ht="15" hidden="false" customHeight="true" outlineLevel="0" collapsed="false">
      <c r="B41" s="19" t="s">
        <v>37</v>
      </c>
      <c r="C41" s="20" t="n">
        <f aca="false">SUMIF(Ventas!$P$3:$P$306,B41,Ventas!$M$3:$M$306)</f>
        <v>1350000</v>
      </c>
      <c r="D41" s="19" t="n">
        <f aca="false">COUNTIF(Ventas!$P$3:$P$306,B41)</f>
        <v>2</v>
      </c>
    </row>
    <row r="42" customFormat="false" ht="15" hidden="false" customHeight="true" outlineLevel="0" collapsed="false">
      <c r="B42" s="19" t="s">
        <v>38</v>
      </c>
      <c r="C42" s="20" t="n">
        <f aca="false">SUMIF(Ventas!$P$3:$P$306,B42,Ventas!$M$3:$M$306)</f>
        <v>15655000</v>
      </c>
      <c r="D42" s="19" t="n">
        <f aca="false">COUNTIF(Ventas!$P$3:$P$306,B42)</f>
        <v>16</v>
      </c>
    </row>
    <row r="44" customFormat="false" ht="19.5" hidden="false" customHeight="true" outlineLevel="0" collapsed="false">
      <c r="B44" s="17" t="s">
        <v>39</v>
      </c>
      <c r="C44" s="17"/>
      <c r="D44" s="17"/>
      <c r="E44" s="17"/>
      <c r="F44" s="17"/>
    </row>
    <row r="45" customFormat="false" ht="15" hidden="false" customHeight="true" outlineLevel="0" collapsed="false">
      <c r="B45" s="18" t="s">
        <v>40</v>
      </c>
      <c r="C45" s="18" t="s">
        <v>11</v>
      </c>
      <c r="D45" s="18" t="s">
        <v>12</v>
      </c>
    </row>
    <row r="46" customFormat="false" ht="15" hidden="false" customHeight="true" outlineLevel="0" collapsed="false">
      <c r="B46" s="19" t="s">
        <v>41</v>
      </c>
      <c r="C46" s="20" t="n">
        <f aca="false">SUMIF(Ventas!$Q$3:$Q$306,B46,Ventas!$M$3:$M$306)</f>
        <v>0</v>
      </c>
      <c r="D46" s="19" t="n">
        <f aca="false">COUNTIF(Ventas!$Q$3:$Q$306,B46)</f>
        <v>0</v>
      </c>
    </row>
    <row r="47" customFormat="false" ht="15" hidden="false" customHeight="true" outlineLevel="0" collapsed="false">
      <c r="B47" s="19" t="s">
        <v>42</v>
      </c>
      <c r="C47" s="20" t="n">
        <f aca="false">SUMIF(Ventas!$Q$3:$Q$306,B47,Ventas!$M$3:$M$306)</f>
        <v>3507000</v>
      </c>
      <c r="D47" s="19" t="n">
        <f aca="false">COUNTIF(Ventas!$Q$3:$Q$306,B47)</f>
        <v>4</v>
      </c>
    </row>
    <row r="48" customFormat="false" ht="15" hidden="false" customHeight="true" outlineLevel="0" collapsed="false">
      <c r="B48" s="19" t="s">
        <v>43</v>
      </c>
      <c r="C48" s="20" t="n">
        <f aca="false">SUMIF(Ventas!$Q$3:$Q$306,B48,Ventas!$M$3:$M$306)</f>
        <v>290000</v>
      </c>
      <c r="D48" s="19" t="n">
        <f aca="false">COUNTIF(Ventas!$Q$3:$Q$306,B48)</f>
        <v>1</v>
      </c>
    </row>
    <row r="49" customFormat="false" ht="15" hidden="false" customHeight="true" outlineLevel="0" collapsed="false">
      <c r="B49" s="19" t="s">
        <v>44</v>
      </c>
      <c r="C49" s="20" t="n">
        <f aca="false">SUMIF(Ventas!$Q$3:$Q$306,B49,Ventas!$M$3:$M$306)</f>
        <v>52189967</v>
      </c>
      <c r="D49" s="19" t="n">
        <f aca="false">COUNTIF(Ventas!$Q$3:$Q$306,B49)</f>
        <v>59</v>
      </c>
    </row>
    <row r="113" customFormat="false" ht="15" hidden="false" customHeight="true" outlineLevel="0" collapsed="false">
      <c r="B113" s="21" t="s">
        <v>45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customFormat="false" ht="25.5" hidden="false" customHeight="true" outlineLevel="0" collapsed="false">
      <c r="B114" s="22" t="s">
        <v>46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 customFormat="false" ht="25.5" hidden="false" customHeight="true" outlineLevel="0" collapsed="false">
      <c r="B115" s="22" t="s">
        <v>47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 customFormat="false" ht="25.5" hidden="false" customHeight="true" outlineLevel="0" collapsed="false">
      <c r="B116" s="22" t="s">
        <v>48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 customFormat="false" ht="25.5" hidden="false" customHeight="true" outlineLevel="0" collapsed="false">
      <c r="B117" s="22" t="s">
        <v>49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 customFormat="false" ht="25.5" hidden="false" customHeight="true" outlineLevel="0" collapsed="false">
      <c r="B118" s="22" t="s">
        <v>50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 customFormat="false" ht="25.5" hidden="false" customHeight="true" outlineLevel="0" collapsed="false">
      <c r="B119" s="22" t="s">
        <v>51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</sheetData>
  <mergeCells count="26">
    <mergeCell ref="B1:N1"/>
    <mergeCell ref="B2:N2"/>
    <mergeCell ref="B3:N3"/>
    <mergeCell ref="B5:D6"/>
    <mergeCell ref="E5:G6"/>
    <mergeCell ref="H5:J6"/>
    <mergeCell ref="K5:L6"/>
    <mergeCell ref="M5:N6"/>
    <mergeCell ref="B7:D9"/>
    <mergeCell ref="E7:G9"/>
    <mergeCell ref="H7:J9"/>
    <mergeCell ref="K7:L9"/>
    <mergeCell ref="M7:N9"/>
    <mergeCell ref="B11:N11"/>
    <mergeCell ref="B13:F13"/>
    <mergeCell ref="H13:L13"/>
    <mergeCell ref="B21:F21"/>
    <mergeCell ref="B28:F28"/>
    <mergeCell ref="B44:F44"/>
    <mergeCell ref="B113:N113"/>
    <mergeCell ref="B114:N114"/>
    <mergeCell ref="B115:N115"/>
    <mergeCell ref="B116:N116"/>
    <mergeCell ref="B117:N117"/>
    <mergeCell ref="B118:N118"/>
    <mergeCell ref="B119:N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6"/>
  <sheetViews>
    <sheetView showFormulas="false" showGridLines="true" showRowColHeaders="true" showZeros="true" rightToLeft="false" tabSelected="true" showOutlineSymbols="true" defaultGridColor="true" view="normal" topLeftCell="D235" colorId="64" zoomScale="96" zoomScaleNormal="96" zoomScalePageLayoutView="100" workbookViewId="0">
      <selection pane="topLeft" activeCell="E243" activeCellId="0" sqref="E243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2" style="1" width="47.14"/>
    <col collapsed="false" customWidth="true" hidden="false" outlineLevel="0" max="3" min="3" style="23" width="22.71"/>
    <col collapsed="false" customWidth="true" hidden="false" outlineLevel="0" max="4" min="4" style="1" width="28"/>
    <col collapsed="false" customWidth="true" hidden="false" outlineLevel="0" max="5" min="5" style="1" width="31.29"/>
    <col collapsed="false" customWidth="true" hidden="false" outlineLevel="0" max="6" min="6" style="1" width="32.57"/>
    <col collapsed="false" customWidth="true" hidden="false" outlineLevel="0" max="7" min="7" style="24" width="23.57"/>
    <col collapsed="false" customWidth="true" hidden="false" outlineLevel="0" max="8" min="8" style="25" width="37.29"/>
    <col collapsed="false" customWidth="true" hidden="false" outlineLevel="0" max="9" min="9" style="25" width="28.29"/>
    <col collapsed="false" customWidth="true" hidden="false" outlineLevel="0" max="11" min="10" style="1" width="37.29"/>
    <col collapsed="false" customWidth="true" hidden="false" outlineLevel="0" max="12" min="12" style="1" width="19.42"/>
    <col collapsed="false" customWidth="true" hidden="false" outlineLevel="0" max="14" min="13" style="1" width="16"/>
    <col collapsed="false" customWidth="true" hidden="false" outlineLevel="0" max="15" min="15" style="1" width="24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10"/>
  </cols>
  <sheetData>
    <row r="1" customFormat="false" ht="15.75" hidden="false" customHeight="true" outlineLevel="0" collapsed="false">
      <c r="A1" s="26" t="s">
        <v>52</v>
      </c>
      <c r="B1" s="27" t="s">
        <v>53</v>
      </c>
      <c r="C1" s="28" t="s">
        <v>54</v>
      </c>
      <c r="D1" s="27" t="s">
        <v>15</v>
      </c>
      <c r="E1" s="27" t="s">
        <v>55</v>
      </c>
      <c r="F1" s="27" t="s">
        <v>56</v>
      </c>
      <c r="G1" s="29" t="s">
        <v>57</v>
      </c>
      <c r="H1" s="30" t="s">
        <v>58</v>
      </c>
      <c r="I1" s="30" t="s">
        <v>59</v>
      </c>
      <c r="J1" s="27" t="s">
        <v>60</v>
      </c>
      <c r="K1" s="27" t="s">
        <v>61</v>
      </c>
      <c r="L1" s="27" t="s">
        <v>62</v>
      </c>
      <c r="M1" s="31" t="s">
        <v>63</v>
      </c>
      <c r="N1" s="31"/>
      <c r="O1" s="31"/>
      <c r="P1" s="31"/>
      <c r="Q1" s="31"/>
      <c r="R1" s="31"/>
    </row>
    <row r="2" customFormat="false" ht="15.75" hidden="false" customHeight="true" outlineLevel="0" collapsed="false">
      <c r="A2" s="32" t="n">
        <v>1</v>
      </c>
      <c r="B2" s="33" t="s">
        <v>64</v>
      </c>
      <c r="C2" s="34" t="n">
        <v>46127</v>
      </c>
      <c r="D2" s="35" t="s">
        <v>22</v>
      </c>
      <c r="E2" s="35" t="s">
        <v>65</v>
      </c>
      <c r="F2" s="35" t="s">
        <v>66</v>
      </c>
      <c r="G2" s="36" t="s">
        <v>67</v>
      </c>
      <c r="H2" s="37" t="s">
        <v>67</v>
      </c>
      <c r="I2" s="37" t="n">
        <v>890000</v>
      </c>
      <c r="J2" s="34" t="s">
        <v>68</v>
      </c>
      <c r="K2" s="36" t="n">
        <v>3</v>
      </c>
      <c r="L2" s="38" t="s">
        <v>69</v>
      </c>
      <c r="M2" s="39" t="s">
        <v>70</v>
      </c>
      <c r="N2" s="39" t="s">
        <v>71</v>
      </c>
      <c r="O2" s="39" t="s">
        <v>72</v>
      </c>
      <c r="P2" s="39" t="s">
        <v>73</v>
      </c>
      <c r="Q2" s="39" t="s">
        <v>74</v>
      </c>
      <c r="R2" s="39" t="s">
        <v>75</v>
      </c>
    </row>
    <row r="3" customFormat="false" ht="15" hidden="false" customHeight="true" outlineLevel="0" collapsed="false">
      <c r="A3" s="40" t="n">
        <v>2</v>
      </c>
      <c r="B3" s="41" t="s">
        <v>76</v>
      </c>
      <c r="C3" s="42" t="n">
        <v>46107</v>
      </c>
      <c r="D3" s="36" t="s">
        <v>21</v>
      </c>
      <c r="E3" s="36" t="s">
        <v>77</v>
      </c>
      <c r="F3" s="36" t="s">
        <v>78</v>
      </c>
      <c r="G3" s="36" t="s">
        <v>79</v>
      </c>
      <c r="H3" s="37" t="n">
        <v>100000</v>
      </c>
      <c r="I3" s="37" t="n">
        <v>290000</v>
      </c>
      <c r="J3" s="36" t="s">
        <v>80</v>
      </c>
      <c r="K3" s="36" t="n">
        <v>8</v>
      </c>
      <c r="L3" s="38" t="s">
        <v>81</v>
      </c>
      <c r="M3" s="43" t="n">
        <f aca="false">IF(B3="","",IF(ISNUMBER(I3),I3,IFERROR(VALUE(SUBSTITUTE(SUBSTITUTE(I3,"$",""),".","")),0)))</f>
        <v>290000</v>
      </c>
      <c r="N3" s="44" t="str">
        <f aca="false">IF(B3="","",PROPER(TRIM(D3)))</f>
        <v>Ximena</v>
      </c>
      <c r="O3" s="44" t="str">
        <f aca="false">IF(B3="","",IF(OR(ISNUMBER(SEARCH("AL DIA",L3)),ISNUMBER(SEARCH("AL DIA",F3))),"Al día",IF(OR(ISNUMBER(SEARCH("QUIETO",L3)),ISNUMBER(SEARCH("QUIETO",F3)),ISNUMBER(SEARCH("ESPERANDO",L3)),ISNUMBER(SEARCH("ESPERANDO",F3))),"Sin respuesta / Inactivo",IF(OR(ISNUMBER(SEARCH("PENDIENTE",L3)),ISNUMBER(SEARCH("PENDIENTE",F3)),ISNUMBER(SEARCH("COMPROMISO",F3)),ISNUMBER(SEARCH("COMPROMISO",L3)),ISNUMBER(SEARCH("PROCESO",F3)),ISNUMBER(SEARCH("LLAMAR",F3)),ISNUMBER(SEARCH("ABONO",J3)),EXACT(L3,"P"),EXACT(F3,"P")),"Pendiente / Compromiso","Sin gestionar"))))</f>
        <v>Pendiente / Compromiso</v>
      </c>
      <c r="P3" s="44" t="str">
        <f aca="false">IF(B3="","",IF(E3="","Sin definir",IF(ISNUMBER(SEARCH("ITIL",E3)),"ITIL",IF(ISNUMBER(SEARCH("ISO 27001",E3)),"ISO 27001",IF(ISNUMBER(SEARCH("ISO 42001",E3)),"ISO 42001",IF(ISNUMBER(SEARCH("ISO",E3)),"Otras ISO",IF(ISNUMBER(SEARCH("SCRUM",E3)),"SCRUM",IF(ISNUMBER(SEARCH("BRIDGE",E3)),"BRIDGE",IF(ISNUMBER(SEARCH("CDS",E3)),"CDS",IF(ISNUMBER(SEARCH("TOGAF",E3)),"TOGAF",IF(ISNUMBER(SEARCH("DPI",E3)),"DPI",IF(ISNUMBER(SEARCH("DITS",E3)),"DITS",IF(ISNUMBER(SEARCH("AGILE",E3)),"AGILE",IF(ISNUMBER(SEARCH("Ciberseguridad",E3)),"Ciberseguridad","Otros"))))))))))))))</f>
        <v>SCRUM</v>
      </c>
      <c r="Q3" s="44" t="str">
        <f aca="false">IF(B3="","",IF(ISNUMBER(K3),IF(K3&lt;=3,"1-3 meses",IF(K3&lt;=6,"4-6 meses","+6 meses")),"Sin dato registrado"))</f>
        <v>+6 meses</v>
      </c>
      <c r="R3" s="44" t="n">
        <f aca="false">IF(OR(B3="",M3=""),"",RANK(M3,$M$3:$M$306)+COUNTIF($M$3:M3,M3)-1)</f>
        <v>55</v>
      </c>
    </row>
    <row r="4" customFormat="false" ht="15" hidden="false" customHeight="true" outlineLevel="0" collapsed="false">
      <c r="A4" s="32" t="n">
        <v>3</v>
      </c>
      <c r="B4" s="41" t="s">
        <v>82</v>
      </c>
      <c r="C4" s="42" t="n">
        <v>46107</v>
      </c>
      <c r="D4" s="35" t="s">
        <v>21</v>
      </c>
      <c r="E4" s="35" t="s">
        <v>65</v>
      </c>
      <c r="F4" s="35" t="s">
        <v>66</v>
      </c>
      <c r="G4" s="36" t="s">
        <v>79</v>
      </c>
      <c r="H4" s="37" t="s">
        <v>83</v>
      </c>
      <c r="I4" s="37" t="n">
        <v>190000</v>
      </c>
      <c r="J4" s="38" t="s">
        <v>84</v>
      </c>
      <c r="K4" s="36" t="n">
        <v>6</v>
      </c>
      <c r="L4" s="38" t="s">
        <v>69</v>
      </c>
      <c r="M4" s="43" t="n">
        <f aca="false">IF(B4="","",IF(ISNUMBER(I4),I4,IFERROR(VALUE(SUBSTITUTE(SUBSTITUTE(I4,"$",""),".","")),0)))</f>
        <v>190000</v>
      </c>
      <c r="N4" s="44" t="str">
        <f aca="false">IF(B4="","",PROPER(TRIM(D4)))</f>
        <v>Ximena</v>
      </c>
      <c r="O4" s="44" t="str">
        <f aca="false">IF(B4="","",IF(OR(ISNUMBER(SEARCH("AL DIA",L4)),ISNUMBER(SEARCH("AL DIA",F4))),"Al día",IF(OR(ISNUMBER(SEARCH("QUIETO",L4)),ISNUMBER(SEARCH("QUIETO",F4)),ISNUMBER(SEARCH("ESPERANDO",L4)),ISNUMBER(SEARCH("ESPERANDO",F4))),"Sin respuesta / Inactivo",IF(OR(ISNUMBER(SEARCH("PENDIENTE",L4)),ISNUMBER(SEARCH("PENDIENTE",F4)),ISNUMBER(SEARCH("COMPROMISO",F4)),ISNUMBER(SEARCH("COMPROMISO",L4)),ISNUMBER(SEARCH("PROCESO",F4)),ISNUMBER(SEARCH("LLAMAR",F4)),ISNUMBER(SEARCH("ABONO",J4)),EXACT(L4,"P"),EXACT(F4,"P")),"Pendiente / Compromiso","Sin gestionar"))))</f>
        <v>Al día</v>
      </c>
      <c r="P4" s="44" t="str">
        <f aca="false">IF(B4="","",IF(E4="","Sin definir",IF(ISNUMBER(SEARCH("ITIL",E4)),"ITIL",IF(ISNUMBER(SEARCH("ISO 27001",E4)),"ISO 27001",IF(ISNUMBER(SEARCH("ISO 42001",E4)),"ISO 42001",IF(ISNUMBER(SEARCH("ISO",E4)),"Otras ISO",IF(ISNUMBER(SEARCH("SCRUM",E4)),"SCRUM",IF(ISNUMBER(SEARCH("BRIDGE",E4)),"BRIDGE",IF(ISNUMBER(SEARCH("CDS",E4)),"CDS",IF(ISNUMBER(SEARCH("TOGAF",E4)),"TOGAF",IF(ISNUMBER(SEARCH("DPI",E4)),"DPI",IF(ISNUMBER(SEARCH("DITS",E4)),"DITS",IF(ISNUMBER(SEARCH("AGILE",E4)),"AGILE",IF(ISNUMBER(SEARCH("Ciberseguridad",E4)),"Ciberseguridad","Otros"))))))))))))))</f>
        <v>ITIL</v>
      </c>
      <c r="Q4" s="44" t="str">
        <f aca="false">IF(B4="","",IF(ISNUMBER(K4),IF(K4&lt;=3,"1-3 meses",IF(K4&lt;=6,"4-6 meses","+6 meses")),"Sin dato registrado"))</f>
        <v>4-6 meses</v>
      </c>
      <c r="R4" s="44" t="n">
        <f aca="false">IF(OR(B4="",M4=""),"",RANK(M4,$M$3:$M$306)+COUNTIF($M$3:M4,M4)-1)</f>
        <v>60</v>
      </c>
    </row>
    <row r="5" customFormat="false" ht="15" hidden="false" customHeight="true" outlineLevel="0" collapsed="false">
      <c r="A5" s="45" t="n">
        <v>4</v>
      </c>
      <c r="B5" s="46" t="s">
        <v>85</v>
      </c>
      <c r="C5" s="47" t="n">
        <v>46108</v>
      </c>
      <c r="D5" s="24" t="s">
        <v>21</v>
      </c>
      <c r="E5" s="48" t="s">
        <v>65</v>
      </c>
      <c r="F5" s="48" t="s">
        <v>66</v>
      </c>
      <c r="G5" s="24" t="s">
        <v>86</v>
      </c>
      <c r="H5" s="25" t="n">
        <v>100000</v>
      </c>
      <c r="I5" s="25" t="n">
        <v>850000</v>
      </c>
      <c r="K5" s="24" t="n">
        <v>6</v>
      </c>
      <c r="M5" s="43" t="n">
        <f aca="false">IF(B5="","",IF(ISNUMBER(I5),I5,IFERROR(VALUE(SUBSTITUTE(SUBSTITUTE(I5,"$",""),".","")),0)))</f>
        <v>850000</v>
      </c>
      <c r="N5" s="44" t="str">
        <f aca="false">IF(B5="","",PROPER(TRIM(D5)))</f>
        <v>Ximena</v>
      </c>
      <c r="O5" s="44" t="str">
        <f aca="false">IF(B5="","",IF(OR(ISNUMBER(SEARCH("AL DIA",L5)),ISNUMBER(SEARCH("AL DIA",F5))),"Al día",IF(OR(ISNUMBER(SEARCH("QUIETO",L5)),ISNUMBER(SEARCH("QUIETO",F5)),ISNUMBER(SEARCH("ESPERANDO",L5)),ISNUMBER(SEARCH("ESPERANDO",F5))),"Sin respuesta / Inactivo",IF(OR(ISNUMBER(SEARCH("PENDIENTE",L5)),ISNUMBER(SEARCH("PENDIENTE",F5)),ISNUMBER(SEARCH("COMPROMISO",F5)),ISNUMBER(SEARCH("COMPROMISO",L5)),ISNUMBER(SEARCH("PROCESO",F5)),ISNUMBER(SEARCH("LLAMAR",F5)),ISNUMBER(SEARCH("ABONO",J5)),EXACT(L5,"P"),EXACT(F5,"P")),"Pendiente / Compromiso","Sin gestionar"))))</f>
        <v>Sin gestionar</v>
      </c>
      <c r="P5" s="44" t="str">
        <f aca="false">IF(B5="","",IF(E5="","Sin definir",IF(ISNUMBER(SEARCH("ITIL",E5)),"ITIL",IF(ISNUMBER(SEARCH("ISO 27001",E5)),"ISO 27001",IF(ISNUMBER(SEARCH("ISO 42001",E5)),"ISO 42001",IF(ISNUMBER(SEARCH("ISO",E5)),"Otras ISO",IF(ISNUMBER(SEARCH("SCRUM",E5)),"SCRUM",IF(ISNUMBER(SEARCH("BRIDGE",E5)),"BRIDGE",IF(ISNUMBER(SEARCH("CDS",E5)),"CDS",IF(ISNUMBER(SEARCH("TOGAF",E5)),"TOGAF",IF(ISNUMBER(SEARCH("DPI",E5)),"DPI",IF(ISNUMBER(SEARCH("DITS",E5)),"DITS",IF(ISNUMBER(SEARCH("AGILE",E5)),"AGILE",IF(ISNUMBER(SEARCH("Ciberseguridad",E5)),"Ciberseguridad","Otros"))))))))))))))</f>
        <v>ITIL</v>
      </c>
      <c r="Q5" s="44" t="str">
        <f aca="false">IF(B5="","",IF(ISNUMBER(K5),IF(K5&lt;=3,"1-3 meses",IF(K5&lt;=6,"4-6 meses","+6 meses")),"Sin dato registrado"))</f>
        <v>4-6 meses</v>
      </c>
      <c r="R5" s="44" t="n">
        <f aca="false">IF(OR(B5="",M5=""),"",RANK(M5,$M$3:$M$306)+COUNTIF($M$3:M5,M5)-1)</f>
        <v>27</v>
      </c>
    </row>
    <row r="6" customFormat="false" ht="15" hidden="false" customHeight="true" outlineLevel="0" collapsed="false">
      <c r="A6" s="49" t="n">
        <v>5</v>
      </c>
      <c r="B6" s="46" t="s">
        <v>87</v>
      </c>
      <c r="C6" s="47" t="n">
        <v>46108</v>
      </c>
      <c r="D6" s="48" t="s">
        <v>21</v>
      </c>
      <c r="E6" s="48" t="s">
        <v>65</v>
      </c>
      <c r="F6" s="48" t="s">
        <v>66</v>
      </c>
      <c r="G6" s="24" t="s">
        <v>86</v>
      </c>
      <c r="H6" s="25" t="n">
        <v>100000</v>
      </c>
      <c r="I6" s="25" t="n">
        <v>1267000</v>
      </c>
      <c r="K6" s="48" t="n">
        <v>6</v>
      </c>
      <c r="M6" s="43" t="n">
        <f aca="false">IF(B6="","",IF(ISNUMBER(I6),I6,IFERROR(VALUE(SUBSTITUTE(SUBSTITUTE(I6,"$",""),".","")),0)))</f>
        <v>1267000</v>
      </c>
      <c r="N6" s="44" t="str">
        <f aca="false">IF(B6="","",PROPER(TRIM(D6)))</f>
        <v>Ximena</v>
      </c>
      <c r="O6" s="44" t="str">
        <f aca="false">IF(B6="","",IF(OR(ISNUMBER(SEARCH("AL DIA",L6)),ISNUMBER(SEARCH("AL DIA",F6))),"Al día",IF(OR(ISNUMBER(SEARCH("QUIETO",L6)),ISNUMBER(SEARCH("QUIETO",F6)),ISNUMBER(SEARCH("ESPERANDO",L6)),ISNUMBER(SEARCH("ESPERANDO",F6))),"Sin respuesta / Inactivo",IF(OR(ISNUMBER(SEARCH("PENDIENTE",L6)),ISNUMBER(SEARCH("PENDIENTE",F6)),ISNUMBER(SEARCH("COMPROMISO",F6)),ISNUMBER(SEARCH("COMPROMISO",L6)),ISNUMBER(SEARCH("PROCESO",F6)),ISNUMBER(SEARCH("LLAMAR",F6)),ISNUMBER(SEARCH("ABONO",J6)),EXACT(L6,"P"),EXACT(F6,"P")),"Pendiente / Compromiso","Sin gestionar"))))</f>
        <v>Sin gestionar</v>
      </c>
      <c r="P6" s="44" t="str">
        <f aca="false">IF(B6="","",IF(E6="","Sin definir",IF(ISNUMBER(SEARCH("ITIL",E6)),"ITIL",IF(ISNUMBER(SEARCH("ISO 27001",E6)),"ISO 27001",IF(ISNUMBER(SEARCH("ISO 42001",E6)),"ISO 42001",IF(ISNUMBER(SEARCH("ISO",E6)),"Otras ISO",IF(ISNUMBER(SEARCH("SCRUM",E6)),"SCRUM",IF(ISNUMBER(SEARCH("BRIDGE",E6)),"BRIDGE",IF(ISNUMBER(SEARCH("CDS",E6)),"CDS",IF(ISNUMBER(SEARCH("TOGAF",E6)),"TOGAF",IF(ISNUMBER(SEARCH("DPI",E6)),"DPI",IF(ISNUMBER(SEARCH("DITS",E6)),"DITS",IF(ISNUMBER(SEARCH("AGILE",E6)),"AGILE",IF(ISNUMBER(SEARCH("Ciberseguridad",E6)),"Ciberseguridad","Otros"))))))))))))))</f>
        <v>ITIL</v>
      </c>
      <c r="Q6" s="44" t="str">
        <f aca="false">IF(B6="","",IF(ISNUMBER(K6),IF(K6&lt;=3,"1-3 meses",IF(K6&lt;=6,"4-6 meses","+6 meses")),"Sin dato registrado"))</f>
        <v>4-6 meses</v>
      </c>
      <c r="R6" s="44" t="n">
        <f aca="false">IF(OR(B6="",M6=""),"",RANK(M6,$M$3:$M$306)+COUNTIF($M$3:M6,M6)-1)</f>
        <v>14</v>
      </c>
    </row>
    <row r="7" customFormat="false" ht="15" hidden="false" customHeight="true" outlineLevel="0" collapsed="false">
      <c r="A7" s="49" t="n">
        <v>6</v>
      </c>
      <c r="B7" s="46" t="s">
        <v>88</v>
      </c>
      <c r="C7" s="47" t="n">
        <v>46108</v>
      </c>
      <c r="D7" s="48" t="s">
        <v>21</v>
      </c>
      <c r="E7" s="24" t="s">
        <v>89</v>
      </c>
      <c r="F7" s="48" t="s">
        <v>66</v>
      </c>
      <c r="G7" s="24" t="s">
        <v>86</v>
      </c>
      <c r="H7" s="25" t="n">
        <v>110000</v>
      </c>
      <c r="I7" s="25" t="n">
        <v>1200000</v>
      </c>
      <c r="K7" s="24" t="n">
        <v>5</v>
      </c>
      <c r="M7" s="43" t="n">
        <f aca="false">IF(B7="","",IF(ISNUMBER(I7),I7,IFERROR(VALUE(SUBSTITUTE(SUBSTITUTE(I7,"$",""),".","")),0)))</f>
        <v>1200000</v>
      </c>
      <c r="N7" s="44" t="str">
        <f aca="false">IF(B7="","",PROPER(TRIM(D7)))</f>
        <v>Ximena</v>
      </c>
      <c r="O7" s="44" t="str">
        <f aca="false">IF(B7="","",IF(OR(ISNUMBER(SEARCH("AL DIA",L7)),ISNUMBER(SEARCH("AL DIA",F7))),"Al día",IF(OR(ISNUMBER(SEARCH("QUIETO",L7)),ISNUMBER(SEARCH("QUIETO",F7)),ISNUMBER(SEARCH("ESPERANDO",L7)),ISNUMBER(SEARCH("ESPERANDO",F7))),"Sin respuesta / Inactivo",IF(OR(ISNUMBER(SEARCH("PENDIENTE",L7)),ISNUMBER(SEARCH("PENDIENTE",F7)),ISNUMBER(SEARCH("COMPROMISO",F7)),ISNUMBER(SEARCH("COMPROMISO",L7)),ISNUMBER(SEARCH("PROCESO",F7)),ISNUMBER(SEARCH("LLAMAR",F7)),ISNUMBER(SEARCH("ABONO",J7)),EXACT(L7,"P"),EXACT(F7,"P")),"Pendiente / Compromiso","Sin gestionar"))))</f>
        <v>Sin gestionar</v>
      </c>
      <c r="P7" s="44" t="str">
        <f aca="false">IF(B7="","",IF(E7="","Sin definir",IF(ISNUMBER(SEARCH("ITIL",E7)),"ITIL",IF(ISNUMBER(SEARCH("ISO 27001",E7)),"ISO 27001",IF(ISNUMBER(SEARCH("ISO 42001",E7)),"ISO 42001",IF(ISNUMBER(SEARCH("ISO",E7)),"Otras ISO",IF(ISNUMBER(SEARCH("SCRUM",E7)),"SCRUM",IF(ISNUMBER(SEARCH("BRIDGE",E7)),"BRIDGE",IF(ISNUMBER(SEARCH("CDS",E7)),"CDS",IF(ISNUMBER(SEARCH("TOGAF",E7)),"TOGAF",IF(ISNUMBER(SEARCH("DPI",E7)),"DPI",IF(ISNUMBER(SEARCH("DITS",E7)),"DITS",IF(ISNUMBER(SEARCH("AGILE",E7)),"AGILE",IF(ISNUMBER(SEARCH("Ciberseguridad",E7)),"Ciberseguridad","Otros"))))))))))))))</f>
        <v>Otras ISO</v>
      </c>
      <c r="Q7" s="44" t="str">
        <f aca="false">IF(B7="","",IF(ISNUMBER(K7),IF(K7&lt;=3,"1-3 meses",IF(K7&lt;=6,"4-6 meses","+6 meses")),"Sin dato registrado"))</f>
        <v>4-6 meses</v>
      </c>
      <c r="R7" s="44" t="n">
        <f aca="false">IF(OR(B7="",M7=""),"",RANK(M7,$M$3:$M$306)+COUNTIF($M$3:M7,M7)-1)</f>
        <v>15</v>
      </c>
    </row>
    <row r="8" customFormat="false" ht="15" hidden="false" customHeight="true" outlineLevel="0" collapsed="false">
      <c r="A8" s="50" t="n">
        <v>7</v>
      </c>
      <c r="B8" s="46" t="s">
        <v>90</v>
      </c>
      <c r="C8" s="47" t="n">
        <v>46108</v>
      </c>
      <c r="D8" s="24" t="s">
        <v>21</v>
      </c>
      <c r="G8" s="24" t="s">
        <v>91</v>
      </c>
      <c r="M8" s="44" t="n">
        <f aca="false">IF(B8="","",IF(ISNUMBER(I8),I8,IFERROR(VALUE(SUBSTITUTE(SUBSTITUTE(I8,"$",""),".","")),0)))</f>
        <v>0</v>
      </c>
      <c r="N8" s="44" t="str">
        <f aca="false">IF(B8="","",PROPER(TRIM(D8)))</f>
        <v>Ximena</v>
      </c>
      <c r="O8" s="44" t="str">
        <f aca="false">IF(B8="","",IF(OR(ISNUMBER(SEARCH("AL DIA",L8)),ISNUMBER(SEARCH("AL DIA",F8))),"Al día",IF(OR(ISNUMBER(SEARCH("QUIETO",L8)),ISNUMBER(SEARCH("QUIETO",F8)),ISNUMBER(SEARCH("ESPERANDO",L8)),ISNUMBER(SEARCH("ESPERANDO",F8))),"Sin respuesta / Inactivo",IF(OR(ISNUMBER(SEARCH("PENDIENTE",L8)),ISNUMBER(SEARCH("PENDIENTE",F8)),ISNUMBER(SEARCH("COMPROMISO",F8)),ISNUMBER(SEARCH("COMPROMISO",L8)),ISNUMBER(SEARCH("PROCESO",F8)),ISNUMBER(SEARCH("LLAMAR",F8)),ISNUMBER(SEARCH("ABONO",J8)),EXACT(L8,"P"),EXACT(F8,"P")),"Pendiente / Compromiso","Sin gestionar"))))</f>
        <v>Sin gestionar</v>
      </c>
      <c r="P8" s="44" t="str">
        <f aca="false">IF(B8="","",IF(E8="","Sin definir",IF(ISNUMBER(SEARCH("ITIL",E8)),"ITIL",IF(ISNUMBER(SEARCH("ISO 27001",E8)),"ISO 27001",IF(ISNUMBER(SEARCH("ISO 42001",E8)),"ISO 42001",IF(ISNUMBER(SEARCH("ISO",E8)),"Otras ISO",IF(ISNUMBER(SEARCH("SCRUM",E8)),"SCRUM",IF(ISNUMBER(SEARCH("BRIDGE",E8)),"BRIDGE",IF(ISNUMBER(SEARCH("CDS",E8)),"CDS",IF(ISNUMBER(SEARCH("TOGAF",E8)),"TOGAF",IF(ISNUMBER(SEARCH("DPI",E8)),"DPI",IF(ISNUMBER(SEARCH("DITS",E8)),"DITS",IF(ISNUMBER(SEARCH("AGILE",E8)),"AGILE",IF(ISNUMBER(SEARCH("Ciberseguridad",E8)),"Ciberseguridad","Otros"))))))))))))))</f>
        <v>Sin definir</v>
      </c>
      <c r="Q8" s="44" t="str">
        <f aca="false">IF(B8="","",IF(ISNUMBER(K8),IF(K8&lt;=3,"1-3 meses",IF(K8&lt;=6,"4-6 meses","+6 meses")),"Sin dato registrado"))</f>
        <v>Sin dato registrado</v>
      </c>
      <c r="R8" s="44" t="n">
        <f aca="false">IF(OR(B8="",M8=""),"",RANK(M8,$M$3:$M$306)+COUNTIF($M$3:M8,M8)-1)</f>
        <v>61</v>
      </c>
    </row>
    <row r="9" customFormat="false" ht="15" hidden="false" customHeight="true" outlineLevel="0" collapsed="false">
      <c r="A9" s="40" t="n">
        <v>8</v>
      </c>
      <c r="B9" s="41" t="s">
        <v>92</v>
      </c>
      <c r="C9" s="51"/>
      <c r="D9" s="38"/>
      <c r="E9" s="38"/>
      <c r="F9" s="38"/>
      <c r="G9" s="36" t="s">
        <v>93</v>
      </c>
      <c r="H9" s="37" t="s">
        <v>83</v>
      </c>
      <c r="I9" s="37" t="s">
        <v>94</v>
      </c>
      <c r="J9" s="38" t="s">
        <v>95</v>
      </c>
      <c r="K9" s="38" t="s">
        <v>83</v>
      </c>
      <c r="L9" s="38" t="s">
        <v>69</v>
      </c>
      <c r="M9" s="44" t="n">
        <f aca="false">IF(B9="","",IF(ISNUMBER(I9),I9,IFERROR(VALUE(SUBSTITUTE(SUBSTITUTE(I9,"$",""),".","")),0)))</f>
        <v>1000000</v>
      </c>
      <c r="N9" s="44" t="str">
        <f aca="false">IF(B9="","",PROPER(TRIM(D9)))</f>
        <v/>
      </c>
      <c r="O9" s="44" t="str">
        <f aca="false">IF(B9="","",IF(OR(ISNUMBER(SEARCH("AL DIA",L9)),ISNUMBER(SEARCH("AL DIA",F9))),"Al día",IF(OR(ISNUMBER(SEARCH("QUIETO",L9)),ISNUMBER(SEARCH("QUIETO",F9)),ISNUMBER(SEARCH("ESPERANDO",L9)),ISNUMBER(SEARCH("ESPERANDO",F9))),"Sin respuesta / Inactivo",IF(OR(ISNUMBER(SEARCH("PENDIENTE",L9)),ISNUMBER(SEARCH("PENDIENTE",F9)),ISNUMBER(SEARCH("COMPROMISO",F9)),ISNUMBER(SEARCH("COMPROMISO",L9)),ISNUMBER(SEARCH("PROCESO",F9)),ISNUMBER(SEARCH("LLAMAR",F9)),ISNUMBER(SEARCH("ABONO",J9)),EXACT(L9,"P"),EXACT(F9,"P")),"Pendiente / Compromiso","Sin gestionar"))))</f>
        <v>Al día</v>
      </c>
      <c r="P9" s="44" t="str">
        <f aca="false">IF(B9="","",IF(E9="","Sin definir",IF(ISNUMBER(SEARCH("ITIL",E9)),"ITIL",IF(ISNUMBER(SEARCH("ISO 27001",E9)),"ISO 27001",IF(ISNUMBER(SEARCH("ISO 42001",E9)),"ISO 42001",IF(ISNUMBER(SEARCH("ISO",E9)),"Otras ISO",IF(ISNUMBER(SEARCH("SCRUM",E9)),"SCRUM",IF(ISNUMBER(SEARCH("BRIDGE",E9)),"BRIDGE",IF(ISNUMBER(SEARCH("CDS",E9)),"CDS",IF(ISNUMBER(SEARCH("TOGAF",E9)),"TOGAF",IF(ISNUMBER(SEARCH("DPI",E9)),"DPI",IF(ISNUMBER(SEARCH("DITS",E9)),"DITS",IF(ISNUMBER(SEARCH("AGILE",E9)),"AGILE",IF(ISNUMBER(SEARCH("Ciberseguridad",E9)),"Ciberseguridad","Otros"))))))))))))))</f>
        <v>Sin definir</v>
      </c>
      <c r="Q9" s="44" t="str">
        <f aca="false">IF(B9="","",IF(ISNUMBER(K9),IF(K9&lt;=3,"1-3 meses",IF(K9&lt;=6,"4-6 meses","+6 meses")),"Sin dato registrado"))</f>
        <v>Sin dato registrado</v>
      </c>
      <c r="R9" s="44" t="n">
        <f aca="false">IF(OR(B9="",M9=""),"",RANK(M9,$M$3:$M$306)+COUNTIF($M$3:M9,M9)-1)</f>
        <v>18</v>
      </c>
    </row>
    <row r="10" customFormat="false" ht="15" hidden="false" customHeight="true" outlineLevel="0" collapsed="false">
      <c r="A10" s="52" t="n">
        <v>9</v>
      </c>
      <c r="B10" s="53" t="s">
        <v>96</v>
      </c>
      <c r="C10" s="54"/>
      <c r="D10" s="1" t="s">
        <v>23</v>
      </c>
      <c r="E10" s="1" t="s">
        <v>97</v>
      </c>
      <c r="G10" s="24" t="s">
        <v>93</v>
      </c>
      <c r="H10" s="25" t="s">
        <v>83</v>
      </c>
      <c r="I10" s="25" t="s">
        <v>98</v>
      </c>
      <c r="J10" s="1" t="s">
        <v>99</v>
      </c>
      <c r="L10" s="1" t="s">
        <v>100</v>
      </c>
      <c r="M10" s="44" t="n">
        <f aca="false">IF(B10="","",IF(ISNUMBER(I10),I10,IFERROR(VALUE(SUBSTITUTE(SUBSTITUTE(I10,"$",""),".","")),0)))</f>
        <v>1100000</v>
      </c>
      <c r="N10" s="44" t="str">
        <f aca="false">IF(B10="","",PROPER(TRIM(D10)))</f>
        <v>Sebas</v>
      </c>
      <c r="O10" s="44" t="str">
        <f aca="false">IF(B10="","",IF(OR(ISNUMBER(SEARCH("AL DIA",L10)),ISNUMBER(SEARCH("AL DIA",F10))),"Al día",IF(OR(ISNUMBER(SEARCH("QUIETO",L10)),ISNUMBER(SEARCH("QUIETO",F10)),ISNUMBER(SEARCH("ESPERANDO",L10)),ISNUMBER(SEARCH("ESPERANDO",F10))),"Sin respuesta / Inactivo",IF(OR(ISNUMBER(SEARCH("PENDIENTE",L10)),ISNUMBER(SEARCH("PENDIENTE",F10)),ISNUMBER(SEARCH("COMPROMISO",F10)),ISNUMBER(SEARCH("COMPROMISO",L10)),ISNUMBER(SEARCH("PROCESO",F10)),ISNUMBER(SEARCH("LLAMAR",F10)),ISNUMBER(SEARCH("ABONO",J10)),EXACT(L10,"P"),EXACT(F10,"P")),"Pendiente / Compromiso","Sin gestionar"))))</f>
        <v>Pendiente / Compromiso</v>
      </c>
      <c r="P10" s="44" t="str">
        <f aca="false">IF(B10="","",IF(E10="","Sin definir",IF(ISNUMBER(SEARCH("ITIL",E10)),"ITIL",IF(ISNUMBER(SEARCH("ISO 27001",E10)),"ISO 27001",IF(ISNUMBER(SEARCH("ISO 42001",E10)),"ISO 42001",IF(ISNUMBER(SEARCH("ISO",E10)),"Otras ISO",IF(ISNUMBER(SEARCH("SCRUM",E10)),"SCRUM",IF(ISNUMBER(SEARCH("BRIDGE",E10)),"BRIDGE",IF(ISNUMBER(SEARCH("CDS",E10)),"CDS",IF(ISNUMBER(SEARCH("TOGAF",E10)),"TOGAF",IF(ISNUMBER(SEARCH("DPI",E10)),"DPI",IF(ISNUMBER(SEARCH("DITS",E10)),"DITS",IF(ISNUMBER(SEARCH("AGILE",E10)),"AGILE",IF(ISNUMBER(SEARCH("Ciberseguridad",E10)),"Ciberseguridad","Otros"))))))))))))))</f>
        <v>SCRUM</v>
      </c>
      <c r="Q10" s="44" t="str">
        <f aca="false">IF(B10="","",IF(ISNUMBER(K10),IF(K10&lt;=3,"1-3 meses",IF(K10&lt;=6,"4-6 meses","+6 meses")),"Sin dato registrado"))</f>
        <v>Sin dato registrado</v>
      </c>
      <c r="R10" s="44" t="n">
        <f aca="false">IF(OR(B10="",M10=""),"",RANK(M10,$M$3:$M$306)+COUNTIF($M$3:M10,M10)-1)</f>
        <v>17</v>
      </c>
    </row>
    <row r="11" customFormat="false" ht="15" hidden="false" customHeight="true" outlineLevel="0" collapsed="false">
      <c r="A11" s="40" t="n">
        <v>10</v>
      </c>
      <c r="B11" s="38" t="s">
        <v>101</v>
      </c>
      <c r="C11" s="51"/>
      <c r="D11" s="38" t="s">
        <v>23</v>
      </c>
      <c r="E11" s="38" t="s">
        <v>37</v>
      </c>
      <c r="F11" s="38"/>
      <c r="G11" s="36" t="s">
        <v>93</v>
      </c>
      <c r="H11" s="37" t="s">
        <v>83</v>
      </c>
      <c r="I11" s="37" t="n">
        <v>850000</v>
      </c>
      <c r="J11" s="38" t="s">
        <v>102</v>
      </c>
      <c r="K11" s="38"/>
      <c r="L11" s="38" t="s">
        <v>69</v>
      </c>
      <c r="M11" s="43" t="n">
        <f aca="false">IF(B11="","",IF(ISNUMBER(I11),I11,IFERROR(VALUE(SUBSTITUTE(SUBSTITUTE(I11,"$",""),".","")),0)))</f>
        <v>850000</v>
      </c>
      <c r="N11" s="44" t="str">
        <f aca="false">IF(B11="","",PROPER(TRIM(D11)))</f>
        <v>Sebas</v>
      </c>
      <c r="O11" s="44" t="str">
        <f aca="false">IF(B11="","",IF(OR(ISNUMBER(SEARCH("AL DIA",L11)),ISNUMBER(SEARCH("AL DIA",F11))),"Al día",IF(OR(ISNUMBER(SEARCH("QUIETO",L11)),ISNUMBER(SEARCH("QUIETO",F11)),ISNUMBER(SEARCH("ESPERANDO",L11)),ISNUMBER(SEARCH("ESPERANDO",F11))),"Sin respuesta / Inactivo",IF(OR(ISNUMBER(SEARCH("PENDIENTE",L11)),ISNUMBER(SEARCH("PENDIENTE",F11)),ISNUMBER(SEARCH("COMPROMISO",F11)),ISNUMBER(SEARCH("COMPROMISO",L11)),ISNUMBER(SEARCH("PROCESO",F11)),ISNUMBER(SEARCH("LLAMAR",F11)),ISNUMBER(SEARCH("ABONO",J11)),EXACT(L11,"P"),EXACT(F11,"P")),"Pendiente / Compromiso","Sin gestionar"))))</f>
        <v>Al día</v>
      </c>
      <c r="P11" s="44" t="str">
        <f aca="false">IF(B11="","",IF(E11="","Sin definir",IF(ISNUMBER(SEARCH("ITIL",E11)),"ITIL",IF(ISNUMBER(SEARCH("ISO 27001",E11)),"ISO 27001",IF(ISNUMBER(SEARCH("ISO 42001",E11)),"ISO 42001",IF(ISNUMBER(SEARCH("ISO",E11)),"Otras ISO",IF(ISNUMBER(SEARCH("SCRUM",E11)),"SCRUM",IF(ISNUMBER(SEARCH("BRIDGE",E11)),"BRIDGE",IF(ISNUMBER(SEARCH("CDS",E11)),"CDS",IF(ISNUMBER(SEARCH("TOGAF",E11)),"TOGAF",IF(ISNUMBER(SEARCH("DPI",E11)),"DPI",IF(ISNUMBER(SEARCH("DITS",E11)),"DITS",IF(ISNUMBER(SEARCH("AGILE",E11)),"AGILE",IF(ISNUMBER(SEARCH("Ciberseguridad",E11)),"Ciberseguridad","Otros"))))))))))))))</f>
        <v>Ciberseguridad</v>
      </c>
      <c r="Q11" s="44" t="str">
        <f aca="false">IF(B11="","",IF(ISNUMBER(K11),IF(K11&lt;=3,"1-3 meses",IF(K11&lt;=6,"4-6 meses","+6 meses")),"Sin dato registrado"))</f>
        <v>Sin dato registrado</v>
      </c>
      <c r="R11" s="44" t="n">
        <f aca="false">IF(OR(B11="",M11=""),"",RANK(M11,$M$3:$M$306)+COUNTIF($M$3:M11,M11)-1)</f>
        <v>28</v>
      </c>
    </row>
    <row r="12" customFormat="false" ht="15" hidden="false" customHeight="true" outlineLevel="0" collapsed="false">
      <c r="A12" s="40" t="n">
        <v>11</v>
      </c>
      <c r="B12" s="38" t="s">
        <v>103</v>
      </c>
      <c r="C12" s="51"/>
      <c r="D12" s="38" t="s">
        <v>23</v>
      </c>
      <c r="E12" s="38" t="s">
        <v>65</v>
      </c>
      <c r="F12" s="38"/>
      <c r="G12" s="36" t="s">
        <v>93</v>
      </c>
      <c r="H12" s="37" t="s">
        <v>83</v>
      </c>
      <c r="I12" s="37" t="n">
        <v>975000</v>
      </c>
      <c r="J12" s="38" t="s">
        <v>104</v>
      </c>
      <c r="K12" s="38"/>
      <c r="L12" s="38" t="s">
        <v>69</v>
      </c>
      <c r="M12" s="43" t="n">
        <f aca="false">IF(B12="","",IF(ISNUMBER(I12),I12,IFERROR(VALUE(SUBSTITUTE(SUBSTITUTE(I12,"$",""),".","")),0)))</f>
        <v>975000</v>
      </c>
      <c r="N12" s="44" t="str">
        <f aca="false">IF(B12="","",PROPER(TRIM(D12)))</f>
        <v>Sebas</v>
      </c>
      <c r="O12" s="44" t="str">
        <f aca="false">IF(B12="","",IF(OR(ISNUMBER(SEARCH("AL DIA",L12)),ISNUMBER(SEARCH("AL DIA",F12))),"Al día",IF(OR(ISNUMBER(SEARCH("QUIETO",L12)),ISNUMBER(SEARCH("QUIETO",F12)),ISNUMBER(SEARCH("ESPERANDO",L12)),ISNUMBER(SEARCH("ESPERANDO",F12))),"Sin respuesta / Inactivo",IF(OR(ISNUMBER(SEARCH("PENDIENTE",L12)),ISNUMBER(SEARCH("PENDIENTE",F12)),ISNUMBER(SEARCH("COMPROMISO",F12)),ISNUMBER(SEARCH("COMPROMISO",L12)),ISNUMBER(SEARCH("PROCESO",F12)),ISNUMBER(SEARCH("LLAMAR",F12)),ISNUMBER(SEARCH("ABONO",J12)),EXACT(L12,"P"),EXACT(F12,"P")),"Pendiente / Compromiso","Sin gestionar"))))</f>
        <v>Al día</v>
      </c>
      <c r="P12" s="44" t="str">
        <f aca="false">IF(B12="","",IF(E12="","Sin definir",IF(ISNUMBER(SEARCH("ITIL",E12)),"ITIL",IF(ISNUMBER(SEARCH("ISO 27001",E12)),"ISO 27001",IF(ISNUMBER(SEARCH("ISO 42001",E12)),"ISO 42001",IF(ISNUMBER(SEARCH("ISO",E12)),"Otras ISO",IF(ISNUMBER(SEARCH("SCRUM",E12)),"SCRUM",IF(ISNUMBER(SEARCH("BRIDGE",E12)),"BRIDGE",IF(ISNUMBER(SEARCH("CDS",E12)),"CDS",IF(ISNUMBER(SEARCH("TOGAF",E12)),"TOGAF",IF(ISNUMBER(SEARCH("DPI",E12)),"DPI",IF(ISNUMBER(SEARCH("DITS",E12)),"DITS",IF(ISNUMBER(SEARCH("AGILE",E12)),"AGILE",IF(ISNUMBER(SEARCH("Ciberseguridad",E12)),"Ciberseguridad","Otros"))))))))))))))</f>
        <v>ITIL</v>
      </c>
      <c r="Q12" s="44" t="str">
        <f aca="false">IF(B12="","",IF(ISNUMBER(K12),IF(K12&lt;=3,"1-3 meses",IF(K12&lt;=6,"4-6 meses","+6 meses")),"Sin dato registrado"))</f>
        <v>Sin dato registrado</v>
      </c>
      <c r="R12" s="44" t="n">
        <f aca="false">IF(OR(B12="",M12=""),"",RANK(M12,$M$3:$M$306)+COUNTIF($M$3:M12,M12)-1)</f>
        <v>22</v>
      </c>
    </row>
    <row r="13" customFormat="false" ht="15" hidden="false" customHeight="true" outlineLevel="0" collapsed="false">
      <c r="A13" s="49" t="n">
        <v>12</v>
      </c>
      <c r="B13" s="1" t="s">
        <v>105</v>
      </c>
      <c r="C13" s="54"/>
      <c r="D13" s="1" t="s">
        <v>21</v>
      </c>
      <c r="E13" s="1" t="s">
        <v>37</v>
      </c>
      <c r="G13" s="24" t="s">
        <v>93</v>
      </c>
      <c r="H13" s="25" t="s">
        <v>83</v>
      </c>
      <c r="I13" s="25" t="n">
        <v>500000</v>
      </c>
      <c r="J13" s="1" t="s">
        <v>106</v>
      </c>
      <c r="L13" s="1" t="s">
        <v>100</v>
      </c>
      <c r="M13" s="43" t="n">
        <f aca="false">IF(B13="","",IF(ISNUMBER(I13),I13,IFERROR(VALUE(SUBSTITUTE(SUBSTITUTE(I13,"$",""),".","")),0)))</f>
        <v>500000</v>
      </c>
      <c r="N13" s="44" t="str">
        <f aca="false">IF(B13="","",PROPER(TRIM(D13)))</f>
        <v>Ximena</v>
      </c>
      <c r="O13" s="44" t="str">
        <f aca="false">IF(B13="","",IF(OR(ISNUMBER(SEARCH("AL DIA",L13)),ISNUMBER(SEARCH("AL DIA",F13))),"Al día",IF(OR(ISNUMBER(SEARCH("QUIETO",L13)),ISNUMBER(SEARCH("QUIETO",F13)),ISNUMBER(SEARCH("ESPERANDO",L13)),ISNUMBER(SEARCH("ESPERANDO",F13))),"Sin respuesta / Inactivo",IF(OR(ISNUMBER(SEARCH("PENDIENTE",L13)),ISNUMBER(SEARCH("PENDIENTE",F13)),ISNUMBER(SEARCH("COMPROMISO",F13)),ISNUMBER(SEARCH("COMPROMISO",L13)),ISNUMBER(SEARCH("PROCESO",F13)),ISNUMBER(SEARCH("LLAMAR",F13)),ISNUMBER(SEARCH("ABONO",J13)),EXACT(L13,"P"),EXACT(F13,"P")),"Pendiente / Compromiso","Sin gestionar"))))</f>
        <v>Pendiente / Compromiso</v>
      </c>
      <c r="P13" s="44" t="str">
        <f aca="false">IF(B13="","",IF(E13="","Sin definir",IF(ISNUMBER(SEARCH("ITIL",E13)),"ITIL",IF(ISNUMBER(SEARCH("ISO 27001",E13)),"ISO 27001",IF(ISNUMBER(SEARCH("ISO 42001",E13)),"ISO 42001",IF(ISNUMBER(SEARCH("ISO",E13)),"Otras ISO",IF(ISNUMBER(SEARCH("SCRUM",E13)),"SCRUM",IF(ISNUMBER(SEARCH("BRIDGE",E13)),"BRIDGE",IF(ISNUMBER(SEARCH("CDS",E13)),"CDS",IF(ISNUMBER(SEARCH("TOGAF",E13)),"TOGAF",IF(ISNUMBER(SEARCH("DPI",E13)),"DPI",IF(ISNUMBER(SEARCH("DITS",E13)),"DITS",IF(ISNUMBER(SEARCH("AGILE",E13)),"AGILE",IF(ISNUMBER(SEARCH("Ciberseguridad",E13)),"Ciberseguridad","Otros"))))))))))))))</f>
        <v>Ciberseguridad</v>
      </c>
      <c r="Q13" s="44" t="str">
        <f aca="false">IF(B13="","",IF(ISNUMBER(K13),IF(K13&lt;=3,"1-3 meses",IF(K13&lt;=6,"4-6 meses","+6 meses")),"Sin dato registrado"))</f>
        <v>Sin dato registrado</v>
      </c>
      <c r="R13" s="44" t="n">
        <f aca="false">IF(OR(B13="",M13=""),"",RANK(M13,$M$3:$M$306)+COUNTIF($M$3:M13,M13)-1)</f>
        <v>46</v>
      </c>
    </row>
    <row r="14" customFormat="false" ht="15" hidden="false" customHeight="true" outlineLevel="0" collapsed="false">
      <c r="A14" s="49" t="n">
        <v>14</v>
      </c>
      <c r="B14" s="1" t="s">
        <v>107</v>
      </c>
      <c r="C14" s="54"/>
      <c r="D14" s="1" t="s">
        <v>21</v>
      </c>
      <c r="E14" s="1" t="s">
        <v>27</v>
      </c>
      <c r="G14" s="24" t="s">
        <v>93</v>
      </c>
      <c r="H14" s="25" t="s">
        <v>83</v>
      </c>
      <c r="I14" s="25" t="n">
        <v>640000</v>
      </c>
      <c r="J14" s="1" t="s">
        <v>108</v>
      </c>
      <c r="L14" s="1" t="s">
        <v>100</v>
      </c>
      <c r="M14" s="43" t="n">
        <f aca="false">IF(B14="","",IF(ISNUMBER(I14),I14,IFERROR(VALUE(SUBSTITUTE(SUBSTITUTE(I14,"$",""),".","")),0)))</f>
        <v>640000</v>
      </c>
      <c r="N14" s="44" t="str">
        <f aca="false">IF(B14="","",PROPER(TRIM(D14)))</f>
        <v>Ximena</v>
      </c>
      <c r="O14" s="44" t="str">
        <f aca="false">IF(B14="","",IF(OR(ISNUMBER(SEARCH("AL DIA",L14)),ISNUMBER(SEARCH("AL DIA",F14))),"Al día",IF(OR(ISNUMBER(SEARCH("QUIETO",L14)),ISNUMBER(SEARCH("QUIETO",F14)),ISNUMBER(SEARCH("ESPERANDO",L14)),ISNUMBER(SEARCH("ESPERANDO",F14))),"Sin respuesta / Inactivo",IF(OR(ISNUMBER(SEARCH("PENDIENTE",L14)),ISNUMBER(SEARCH("PENDIENTE",F14)),ISNUMBER(SEARCH("COMPROMISO",F14)),ISNUMBER(SEARCH("COMPROMISO",L14)),ISNUMBER(SEARCH("PROCESO",F14)),ISNUMBER(SEARCH("LLAMAR",F14)),ISNUMBER(SEARCH("ABONO",J14)),EXACT(L14,"P"),EXACT(F14,"P")),"Pendiente / Compromiso","Sin gestionar"))))</f>
        <v>Pendiente / Compromiso</v>
      </c>
      <c r="P14" s="44" t="str">
        <f aca="false">IF(B14="","",IF(E14="","Sin definir",IF(ISNUMBER(SEARCH("ITIL",E14)),"ITIL",IF(ISNUMBER(SEARCH("ISO 27001",E14)),"ISO 27001",IF(ISNUMBER(SEARCH("ISO 42001",E14)),"ISO 42001",IF(ISNUMBER(SEARCH("ISO",E14)),"Otras ISO",IF(ISNUMBER(SEARCH("SCRUM",E14)),"SCRUM",IF(ISNUMBER(SEARCH("BRIDGE",E14)),"BRIDGE",IF(ISNUMBER(SEARCH("CDS",E14)),"CDS",IF(ISNUMBER(SEARCH("TOGAF",E14)),"TOGAF",IF(ISNUMBER(SEARCH("DPI",E14)),"DPI",IF(ISNUMBER(SEARCH("DITS",E14)),"DITS",IF(ISNUMBER(SEARCH("AGILE",E14)),"AGILE",IF(ISNUMBER(SEARCH("Ciberseguridad",E14)),"Ciberseguridad","Otros"))))))))))))))</f>
        <v>ISO 27001</v>
      </c>
      <c r="Q14" s="44" t="str">
        <f aca="false">IF(B14="","",IF(ISNUMBER(K14),IF(K14&lt;=3,"1-3 meses",IF(K14&lt;=6,"4-6 meses","+6 meses")),"Sin dato registrado"))</f>
        <v>Sin dato registrado</v>
      </c>
      <c r="R14" s="44" t="n">
        <f aca="false">IF(OR(B14="",M14=""),"",RANK(M14,$M$3:$M$306)+COUNTIF($M$3:M14,M14)-1)</f>
        <v>43</v>
      </c>
    </row>
    <row r="15" customFormat="false" ht="15" hidden="false" customHeight="true" outlineLevel="0" collapsed="false">
      <c r="A15" s="50" t="n">
        <v>15</v>
      </c>
      <c r="B15" s="1" t="s">
        <v>109</v>
      </c>
      <c r="C15" s="54"/>
      <c r="D15" s="1" t="s">
        <v>21</v>
      </c>
      <c r="E15" s="1" t="s">
        <v>27</v>
      </c>
      <c r="G15" s="24" t="s">
        <v>93</v>
      </c>
      <c r="H15" s="25" t="s">
        <v>83</v>
      </c>
      <c r="I15" s="25" t="n">
        <v>594967</v>
      </c>
      <c r="J15" s="1" t="s">
        <v>108</v>
      </c>
      <c r="L15" s="1" t="s">
        <v>100</v>
      </c>
      <c r="M15" s="43" t="n">
        <f aca="false">IF(B15="","",IF(ISNUMBER(I15),I15,IFERROR(VALUE(SUBSTITUTE(SUBSTITUTE(I15,"$",""),".","")),0)))</f>
        <v>594967</v>
      </c>
      <c r="N15" s="44" t="str">
        <f aca="false">IF(B15="","",PROPER(TRIM(D15)))</f>
        <v>Ximena</v>
      </c>
      <c r="O15" s="44" t="str">
        <f aca="false">IF(B15="","",IF(OR(ISNUMBER(SEARCH("AL DIA",L15)),ISNUMBER(SEARCH("AL DIA",F15))),"Al día",IF(OR(ISNUMBER(SEARCH("QUIETO",L15)),ISNUMBER(SEARCH("QUIETO",F15)),ISNUMBER(SEARCH("ESPERANDO",L15)),ISNUMBER(SEARCH("ESPERANDO",F15))),"Sin respuesta / Inactivo",IF(OR(ISNUMBER(SEARCH("PENDIENTE",L15)),ISNUMBER(SEARCH("PENDIENTE",F15)),ISNUMBER(SEARCH("COMPROMISO",F15)),ISNUMBER(SEARCH("COMPROMISO",L15)),ISNUMBER(SEARCH("PROCESO",F15)),ISNUMBER(SEARCH("LLAMAR",F15)),ISNUMBER(SEARCH("ABONO",J15)),EXACT(L15,"P"),EXACT(F15,"P")),"Pendiente / Compromiso","Sin gestionar"))))</f>
        <v>Pendiente / Compromiso</v>
      </c>
      <c r="P15" s="44" t="str">
        <f aca="false">IF(B15="","",IF(E15="","Sin definir",IF(ISNUMBER(SEARCH("ITIL",E15)),"ITIL",IF(ISNUMBER(SEARCH("ISO 27001",E15)),"ISO 27001",IF(ISNUMBER(SEARCH("ISO 42001",E15)),"ISO 42001",IF(ISNUMBER(SEARCH("ISO",E15)),"Otras ISO",IF(ISNUMBER(SEARCH("SCRUM",E15)),"SCRUM",IF(ISNUMBER(SEARCH("BRIDGE",E15)),"BRIDGE",IF(ISNUMBER(SEARCH("CDS",E15)),"CDS",IF(ISNUMBER(SEARCH("TOGAF",E15)),"TOGAF",IF(ISNUMBER(SEARCH("DPI",E15)),"DPI",IF(ISNUMBER(SEARCH("DITS",E15)),"DITS",IF(ISNUMBER(SEARCH("AGILE",E15)),"AGILE",IF(ISNUMBER(SEARCH("Ciberseguridad",E15)),"Ciberseguridad","Otros"))))))))))))))</f>
        <v>ISO 27001</v>
      </c>
      <c r="Q15" s="44" t="str">
        <f aca="false">IF(B15="","",IF(ISNUMBER(K15),IF(K15&lt;=3,"1-3 meses",IF(K15&lt;=6,"4-6 meses","+6 meses")),"Sin dato registrado"))</f>
        <v>Sin dato registrado</v>
      </c>
      <c r="R15" s="44" t="n">
        <f aca="false">IF(OR(B15="",M15=""),"",RANK(M15,$M$3:$M$306)+COUNTIF($M$3:M15,M15)-1)</f>
        <v>45</v>
      </c>
    </row>
    <row r="16" customFormat="false" ht="15" hidden="false" customHeight="true" outlineLevel="0" collapsed="false">
      <c r="A16" s="49" t="n">
        <v>16</v>
      </c>
      <c r="B16" s="1" t="s">
        <v>110</v>
      </c>
      <c r="C16" s="54"/>
      <c r="D16" s="1" t="s">
        <v>22</v>
      </c>
      <c r="E16" s="1" t="s">
        <v>65</v>
      </c>
      <c r="G16" s="24" t="s">
        <v>93</v>
      </c>
      <c r="H16" s="25" t="s">
        <v>83</v>
      </c>
      <c r="I16" s="25" t="n">
        <v>925000</v>
      </c>
      <c r="M16" s="43" t="n">
        <f aca="false">IF(B16="","",IF(ISNUMBER(I16),I16,IFERROR(VALUE(SUBSTITUTE(SUBSTITUTE(I16,"$",""),".","")),0)))</f>
        <v>925000</v>
      </c>
      <c r="N16" s="44" t="str">
        <f aca="false">IF(B16="","",PROPER(TRIM(D16)))</f>
        <v>Carolina</v>
      </c>
      <c r="O16" s="44" t="str">
        <f aca="false">IF(B16="","",IF(OR(ISNUMBER(SEARCH("AL DIA",L16)),ISNUMBER(SEARCH("AL DIA",F16))),"Al día",IF(OR(ISNUMBER(SEARCH("QUIETO",L16)),ISNUMBER(SEARCH("QUIETO",F16)),ISNUMBER(SEARCH("ESPERANDO",L16)),ISNUMBER(SEARCH("ESPERANDO",F16))),"Sin respuesta / Inactivo",IF(OR(ISNUMBER(SEARCH("PENDIENTE",L16)),ISNUMBER(SEARCH("PENDIENTE",F16)),ISNUMBER(SEARCH("COMPROMISO",F16)),ISNUMBER(SEARCH("COMPROMISO",L16)),ISNUMBER(SEARCH("PROCESO",F16)),ISNUMBER(SEARCH("LLAMAR",F16)),ISNUMBER(SEARCH("ABONO",J16)),EXACT(L16,"P"),EXACT(F16,"P")),"Pendiente / Compromiso","Sin gestionar"))))</f>
        <v>Sin gestionar</v>
      </c>
      <c r="P16" s="44" t="str">
        <f aca="false">IF(B16="","",IF(E16="","Sin definir",IF(ISNUMBER(SEARCH("ITIL",E16)),"ITIL",IF(ISNUMBER(SEARCH("ISO 27001",E16)),"ISO 27001",IF(ISNUMBER(SEARCH("ISO 42001",E16)),"ISO 42001",IF(ISNUMBER(SEARCH("ISO",E16)),"Otras ISO",IF(ISNUMBER(SEARCH("SCRUM",E16)),"SCRUM",IF(ISNUMBER(SEARCH("BRIDGE",E16)),"BRIDGE",IF(ISNUMBER(SEARCH("CDS",E16)),"CDS",IF(ISNUMBER(SEARCH("TOGAF",E16)),"TOGAF",IF(ISNUMBER(SEARCH("DPI",E16)),"DPI",IF(ISNUMBER(SEARCH("DITS",E16)),"DITS",IF(ISNUMBER(SEARCH("AGILE",E16)),"AGILE",IF(ISNUMBER(SEARCH("Ciberseguridad",E16)),"Ciberseguridad","Otros"))))))))))))))</f>
        <v>ITIL</v>
      </c>
      <c r="Q16" s="44" t="str">
        <f aca="false">IF(B16="","",IF(ISNUMBER(K16),IF(K16&lt;=3,"1-3 meses",IF(K16&lt;=6,"4-6 meses","+6 meses")),"Sin dato registrado"))</f>
        <v>Sin dato registrado</v>
      </c>
      <c r="R16" s="44" t="n">
        <f aca="false">IF(OR(B16="",M16=""),"",RANK(M16,$M$3:$M$306)+COUNTIF($M$3:M16,M16)-1)</f>
        <v>24</v>
      </c>
    </row>
    <row r="17" customFormat="false" ht="15" hidden="true" customHeight="true" outlineLevel="0" collapsed="false">
      <c r="A17" s="50" t="n">
        <v>17</v>
      </c>
      <c r="B17" s="1" t="s">
        <v>111</v>
      </c>
      <c r="C17" s="54"/>
      <c r="D17" s="1" t="s">
        <v>23</v>
      </c>
      <c r="E17" s="1" t="s">
        <v>65</v>
      </c>
      <c r="G17" s="24" t="s">
        <v>112</v>
      </c>
      <c r="H17" s="25" t="s">
        <v>113</v>
      </c>
      <c r="I17" s="25" t="n">
        <v>1450000</v>
      </c>
      <c r="J17" s="1" t="s">
        <v>113</v>
      </c>
      <c r="K17" s="1" t="s">
        <v>113</v>
      </c>
      <c r="L17" s="1" t="s">
        <v>113</v>
      </c>
      <c r="M17" s="43" t="n">
        <f aca="false">IF(B17="","",IF(ISNUMBER(I17),I17,IFERROR(VALUE(SUBSTITUTE(SUBSTITUTE(I17,"$",""),".","")),0)))</f>
        <v>1450000</v>
      </c>
      <c r="N17" s="44" t="str">
        <f aca="false">IF(B17="","",PROPER(TRIM(D17)))</f>
        <v>Sebas</v>
      </c>
      <c r="O17" s="44" t="str">
        <f aca="false">IF(B17="","",IF(OR(ISNUMBER(SEARCH("AL DIA",L17)),ISNUMBER(SEARCH("AL DIA",F17))),"Al día",IF(OR(ISNUMBER(SEARCH("QUIETO",L17)),ISNUMBER(SEARCH("QUIETO",F17)),ISNUMBER(SEARCH("ESPERANDO",L17)),ISNUMBER(SEARCH("ESPERANDO",F17))),"Sin respuesta / Inactivo",IF(OR(ISNUMBER(SEARCH("PENDIENTE",L17)),ISNUMBER(SEARCH("PENDIENTE",F17)),ISNUMBER(SEARCH("COMPROMISO",F17)),ISNUMBER(SEARCH("COMPROMISO",L17)),ISNUMBER(SEARCH("PROCESO",F17)),ISNUMBER(SEARCH("LLAMAR",F17)),ISNUMBER(SEARCH("ABONO",J17)),EXACT(L17,"P"),EXACT(F17,"P")),"Pendiente / Compromiso","Sin gestionar"))))</f>
        <v>Sin gestionar</v>
      </c>
      <c r="P17" s="44" t="str">
        <f aca="false">IF(B17="","",IF(E17="","Sin definir",IF(ISNUMBER(SEARCH("ITIL",E17)),"ITIL",IF(ISNUMBER(SEARCH("ISO 27001",E17)),"ISO 27001",IF(ISNUMBER(SEARCH("ISO 42001",E17)),"ISO 42001",IF(ISNUMBER(SEARCH("ISO",E17)),"Otras ISO",IF(ISNUMBER(SEARCH("SCRUM",E17)),"SCRUM",IF(ISNUMBER(SEARCH("BRIDGE",E17)),"BRIDGE",IF(ISNUMBER(SEARCH("CDS",E17)),"CDS",IF(ISNUMBER(SEARCH("TOGAF",E17)),"TOGAF",IF(ISNUMBER(SEARCH("DPI",E17)),"DPI",IF(ISNUMBER(SEARCH("DITS",E17)),"DITS",IF(ISNUMBER(SEARCH("AGILE",E17)),"AGILE",IF(ISNUMBER(SEARCH("Ciberseguridad",E17)),"Ciberseguridad","Otros"))))))))))))))</f>
        <v>ITIL</v>
      </c>
      <c r="Q17" s="44" t="str">
        <f aca="false">IF(B17="","",IF(ISNUMBER(K17),IF(K17&lt;=3,"1-3 meses",IF(K17&lt;=6,"4-6 meses","+6 meses")),"Sin dato registrado"))</f>
        <v>Sin dato registrado</v>
      </c>
      <c r="R17" s="44" t="n">
        <f aca="false">IF(OR(B17="",M17=""),"",RANK(M17,$M$3:$M$306)+COUNTIF($M$3:M17,M17)-1)</f>
        <v>12</v>
      </c>
    </row>
    <row r="18" customFormat="false" ht="15" hidden="true" customHeight="true" outlineLevel="0" collapsed="false">
      <c r="A18" s="49" t="n">
        <v>18</v>
      </c>
      <c r="B18" s="55" t="s">
        <v>114</v>
      </c>
      <c r="C18" s="54"/>
      <c r="D18" s="1" t="s">
        <v>23</v>
      </c>
      <c r="E18" s="1" t="s">
        <v>35</v>
      </c>
      <c r="G18" s="24" t="s">
        <v>115</v>
      </c>
      <c r="H18" s="25" t="s">
        <v>83</v>
      </c>
      <c r="I18" s="25" t="n">
        <v>3150000</v>
      </c>
      <c r="L18" s="1" t="s">
        <v>116</v>
      </c>
      <c r="M18" s="43" t="n">
        <f aca="false">IF(B18="","",IF(ISNUMBER(I18),I18,IFERROR(VALUE(SUBSTITUTE(SUBSTITUTE(I18,"$",""),".","")),0)))</f>
        <v>3150000</v>
      </c>
      <c r="N18" s="44" t="str">
        <f aca="false">IF(B18="","",PROPER(TRIM(D18)))</f>
        <v>Sebas</v>
      </c>
      <c r="O18" s="44" t="str">
        <f aca="false">IF(B18="","",IF(OR(ISNUMBER(SEARCH("AL DIA",L18)),ISNUMBER(SEARCH("AL DIA",F18))),"Al día",IF(OR(ISNUMBER(SEARCH("QUIETO",L18)),ISNUMBER(SEARCH("QUIETO",F18)),ISNUMBER(SEARCH("ESPERANDO",L18)),ISNUMBER(SEARCH("ESPERANDO",F18))),"Sin respuesta / Inactivo",IF(OR(ISNUMBER(SEARCH("PENDIENTE",L18)),ISNUMBER(SEARCH("PENDIENTE",F18)),ISNUMBER(SEARCH("COMPROMISO",F18)),ISNUMBER(SEARCH("COMPROMISO",L18)),ISNUMBER(SEARCH("PROCESO",F18)),ISNUMBER(SEARCH("LLAMAR",F18)),ISNUMBER(SEARCH("ABONO",J18)),EXACT(L18,"P"),EXACT(F18,"P")),"Pendiente / Compromiso","Sin gestionar"))))</f>
        <v>Sin respuesta / Inactivo</v>
      </c>
      <c r="P18" s="44" t="str">
        <f aca="false">IF(B18="","",IF(E18="","Sin definir",IF(ISNUMBER(SEARCH("ITIL",E18)),"ITIL",IF(ISNUMBER(SEARCH("ISO 27001",E18)),"ISO 27001",IF(ISNUMBER(SEARCH("ISO 42001",E18)),"ISO 42001",IF(ISNUMBER(SEARCH("ISO",E18)),"Otras ISO",IF(ISNUMBER(SEARCH("SCRUM",E18)),"SCRUM",IF(ISNUMBER(SEARCH("BRIDGE",E18)),"BRIDGE",IF(ISNUMBER(SEARCH("CDS",E18)),"CDS",IF(ISNUMBER(SEARCH("TOGAF",E18)),"TOGAF",IF(ISNUMBER(SEARCH("DPI",E18)),"DPI",IF(ISNUMBER(SEARCH("DITS",E18)),"DITS",IF(ISNUMBER(SEARCH("AGILE",E18)),"AGILE",IF(ISNUMBER(SEARCH("Ciberseguridad",E18)),"Ciberseguridad","Otros"))))))))))))))</f>
        <v>DITS</v>
      </c>
      <c r="Q18" s="44" t="str">
        <f aca="false">IF(B18="","",IF(ISNUMBER(K18),IF(K18&lt;=3,"1-3 meses",IF(K18&lt;=6,"4-6 meses","+6 meses")),"Sin dato registrado"))</f>
        <v>Sin dato registrado</v>
      </c>
      <c r="R18" s="44" t="n">
        <f aca="false">IF(OR(B18="",M18=""),"",RANK(M18,$M$3:$M$306)+COUNTIF($M$3:M18,M18)-1)</f>
        <v>1</v>
      </c>
    </row>
    <row r="19" s="38" customFormat="true" ht="15" hidden="false" customHeight="true" outlineLevel="0" collapsed="false">
      <c r="A19" s="40" t="n">
        <v>19</v>
      </c>
      <c r="B19" s="38" t="s">
        <v>117</v>
      </c>
      <c r="C19" s="51"/>
      <c r="D19" s="38" t="s">
        <v>22</v>
      </c>
      <c r="E19" s="38" t="s">
        <v>32</v>
      </c>
      <c r="G19" s="36" t="s">
        <v>118</v>
      </c>
      <c r="H19" s="37" t="s">
        <v>113</v>
      </c>
      <c r="I19" s="37" t="n">
        <v>200000</v>
      </c>
      <c r="L19" s="38" t="s">
        <v>119</v>
      </c>
      <c r="M19" s="43" t="n">
        <f aca="false">IF(B19="","",IF(ISNUMBER(I19),I19,IFERROR(VALUE(SUBSTITUTE(SUBSTITUTE(I19,"$",""),".","")),0)))</f>
        <v>200000</v>
      </c>
      <c r="N19" s="44" t="str">
        <f aca="false">IF(B19="","",PROPER(TRIM(D19)))</f>
        <v>Carolina</v>
      </c>
      <c r="O19" s="44" t="str">
        <f aca="false">IF(B19="","",IF(OR(ISNUMBER(SEARCH("AL DIA",L19)),ISNUMBER(SEARCH("AL DIA",F19))),"Al día",IF(OR(ISNUMBER(SEARCH("QUIETO",L19)),ISNUMBER(SEARCH("QUIETO",F19)),ISNUMBER(SEARCH("ESPERANDO",L19)),ISNUMBER(SEARCH("ESPERANDO",F19))),"Sin respuesta / Inactivo",IF(OR(ISNUMBER(SEARCH("PENDIENTE",L19)),ISNUMBER(SEARCH("PENDIENTE",F19)),ISNUMBER(SEARCH("COMPROMISO",F19)),ISNUMBER(SEARCH("COMPROMISO",L19)),ISNUMBER(SEARCH("PROCESO",F19)),ISNUMBER(SEARCH("LLAMAR",F19)),ISNUMBER(SEARCH("ABONO",J19)),EXACT(L19,"P"),EXACT(F19,"P")),"Pendiente / Compromiso","Sin gestionar"))))</f>
        <v>Al día</v>
      </c>
      <c r="P19" s="44" t="str">
        <f aca="false">IF(B19="","",IF(E19="","Sin definir",IF(ISNUMBER(SEARCH("ITIL",E19)),"ITIL",IF(ISNUMBER(SEARCH("ISO 27001",E19)),"ISO 27001",IF(ISNUMBER(SEARCH("ISO 42001",E19)),"ISO 42001",IF(ISNUMBER(SEARCH("ISO",E19)),"Otras ISO",IF(ISNUMBER(SEARCH("SCRUM",E19)),"SCRUM",IF(ISNUMBER(SEARCH("BRIDGE",E19)),"BRIDGE",IF(ISNUMBER(SEARCH("CDS",E19)),"CDS",IF(ISNUMBER(SEARCH("TOGAF",E19)),"TOGAF",IF(ISNUMBER(SEARCH("DPI",E19)),"DPI",IF(ISNUMBER(SEARCH("DITS",E19)),"DITS",IF(ISNUMBER(SEARCH("AGILE",E19)),"AGILE",IF(ISNUMBER(SEARCH("Ciberseguridad",E19)),"Ciberseguridad","Otros"))))))))))))))</f>
        <v>CDS</v>
      </c>
      <c r="Q19" s="44" t="str">
        <f aca="false">IF(B19="","",IF(ISNUMBER(K19),IF(K19&lt;=3,"1-3 meses",IF(K19&lt;=6,"4-6 meses","+6 meses")),"Sin dato registrado"))</f>
        <v>Sin dato registrado</v>
      </c>
      <c r="R19" s="44" t="n">
        <f aca="false">IF(OR(B19="",M19=""),"",RANK(M19,$M$3:$M$306)+COUNTIF($M$3:M19,M19)-1)</f>
        <v>59</v>
      </c>
    </row>
    <row r="20" customFormat="false" ht="15" hidden="true" customHeight="true" outlineLevel="0" collapsed="false">
      <c r="A20" s="49" t="n">
        <v>20</v>
      </c>
      <c r="B20" s="1" t="s">
        <v>120</v>
      </c>
      <c r="C20" s="54"/>
      <c r="D20" s="1" t="s">
        <v>21</v>
      </c>
      <c r="E20" s="1" t="s">
        <v>32</v>
      </c>
      <c r="G20" s="24" t="s">
        <v>93</v>
      </c>
      <c r="H20" s="25" t="s">
        <v>121</v>
      </c>
      <c r="I20" s="25" t="n">
        <v>2390000</v>
      </c>
      <c r="L20" s="1" t="s">
        <v>100</v>
      </c>
      <c r="M20" s="43" t="n">
        <f aca="false">IF(B20="","",IF(ISNUMBER(I20),I20,IFERROR(VALUE(SUBSTITUTE(SUBSTITUTE(I20,"$",""),".","")),0)))</f>
        <v>2390000</v>
      </c>
      <c r="N20" s="44" t="str">
        <f aca="false">IF(B20="","",PROPER(TRIM(D20)))</f>
        <v>Ximena</v>
      </c>
      <c r="O20" s="44" t="str">
        <f aca="false">IF(B20="","",IF(OR(ISNUMBER(SEARCH("AL DIA",L20)),ISNUMBER(SEARCH("AL DIA",F20))),"Al día",IF(OR(ISNUMBER(SEARCH("QUIETO",L20)),ISNUMBER(SEARCH("QUIETO",F20)),ISNUMBER(SEARCH("ESPERANDO",L20)),ISNUMBER(SEARCH("ESPERANDO",F20))),"Sin respuesta / Inactivo",IF(OR(ISNUMBER(SEARCH("PENDIENTE",L20)),ISNUMBER(SEARCH("PENDIENTE",F20)),ISNUMBER(SEARCH("COMPROMISO",F20)),ISNUMBER(SEARCH("COMPROMISO",L20)),ISNUMBER(SEARCH("PROCESO",F20)),ISNUMBER(SEARCH("LLAMAR",F20)),ISNUMBER(SEARCH("ABONO",J20)),EXACT(L20,"P"),EXACT(F20,"P")),"Pendiente / Compromiso","Sin gestionar"))))</f>
        <v>Pendiente / Compromiso</v>
      </c>
      <c r="P20" s="44" t="str">
        <f aca="false">IF(B20="","",IF(E20="","Sin definir",IF(ISNUMBER(SEARCH("ITIL",E20)),"ITIL",IF(ISNUMBER(SEARCH("ISO 27001",E20)),"ISO 27001",IF(ISNUMBER(SEARCH("ISO 42001",E20)),"ISO 42001",IF(ISNUMBER(SEARCH("ISO",E20)),"Otras ISO",IF(ISNUMBER(SEARCH("SCRUM",E20)),"SCRUM",IF(ISNUMBER(SEARCH("BRIDGE",E20)),"BRIDGE",IF(ISNUMBER(SEARCH("CDS",E20)),"CDS",IF(ISNUMBER(SEARCH("TOGAF",E20)),"TOGAF",IF(ISNUMBER(SEARCH("DPI",E20)),"DPI",IF(ISNUMBER(SEARCH("DITS",E20)),"DITS",IF(ISNUMBER(SEARCH("AGILE",E20)),"AGILE",IF(ISNUMBER(SEARCH("Ciberseguridad",E20)),"Ciberseguridad","Otros"))))))))))))))</f>
        <v>CDS</v>
      </c>
      <c r="Q20" s="44" t="str">
        <f aca="false">IF(B20="","",IF(ISNUMBER(K20),IF(K20&lt;=3,"1-3 meses",IF(K20&lt;=6,"4-6 meses","+6 meses")),"Sin dato registrado"))</f>
        <v>Sin dato registrado</v>
      </c>
      <c r="R20" s="44" t="n">
        <f aca="false">IF(OR(B20="",M20=""),"",RANK(M20,$M$3:$M$306)+COUNTIF($M$3:M20,M20)-1)</f>
        <v>2</v>
      </c>
    </row>
    <row r="21" customFormat="false" ht="15" hidden="true" customHeight="true" outlineLevel="0" collapsed="false">
      <c r="A21" s="50" t="n">
        <v>21</v>
      </c>
      <c r="B21" s="1" t="s">
        <v>122</v>
      </c>
      <c r="C21" s="54"/>
      <c r="D21" s="1" t="s">
        <v>21</v>
      </c>
      <c r="E21" s="1" t="s">
        <v>32</v>
      </c>
      <c r="G21" s="24" t="s">
        <v>93</v>
      </c>
      <c r="H21" s="25" t="s">
        <v>83</v>
      </c>
      <c r="I21" s="25" t="n">
        <v>1000000</v>
      </c>
      <c r="J21" s="56" t="s">
        <v>123</v>
      </c>
      <c r="L21" s="1" t="s">
        <v>100</v>
      </c>
      <c r="M21" s="43" t="n">
        <f aca="false">IF(B21="","",IF(ISNUMBER(I21),I21,IFERROR(VALUE(SUBSTITUTE(SUBSTITUTE(I21,"$",""),".","")),0)))</f>
        <v>1000000</v>
      </c>
      <c r="N21" s="44" t="str">
        <f aca="false">IF(B21="","",PROPER(TRIM(D21)))</f>
        <v>Ximena</v>
      </c>
      <c r="O21" s="44" t="str">
        <f aca="false">IF(B21="","",IF(OR(ISNUMBER(SEARCH("AL DIA",L21)),ISNUMBER(SEARCH("AL DIA",F21))),"Al día",IF(OR(ISNUMBER(SEARCH("QUIETO",L21)),ISNUMBER(SEARCH("QUIETO",F21)),ISNUMBER(SEARCH("ESPERANDO",L21)),ISNUMBER(SEARCH("ESPERANDO",F21))),"Sin respuesta / Inactivo",IF(OR(ISNUMBER(SEARCH("PENDIENTE",L21)),ISNUMBER(SEARCH("PENDIENTE",F21)),ISNUMBER(SEARCH("COMPROMISO",F21)),ISNUMBER(SEARCH("COMPROMISO",L21)),ISNUMBER(SEARCH("PROCESO",F21)),ISNUMBER(SEARCH("LLAMAR",F21)),ISNUMBER(SEARCH("ABONO",J21)),EXACT(L21,"P"),EXACT(F21,"P")),"Pendiente / Compromiso","Sin gestionar"))))</f>
        <v>Pendiente / Compromiso</v>
      </c>
      <c r="P21" s="44" t="str">
        <f aca="false">IF(B21="","",IF(E21="","Sin definir",IF(ISNUMBER(SEARCH("ITIL",E21)),"ITIL",IF(ISNUMBER(SEARCH("ISO 27001",E21)),"ISO 27001",IF(ISNUMBER(SEARCH("ISO 42001",E21)),"ISO 42001",IF(ISNUMBER(SEARCH("ISO",E21)),"Otras ISO",IF(ISNUMBER(SEARCH("SCRUM",E21)),"SCRUM",IF(ISNUMBER(SEARCH("BRIDGE",E21)),"BRIDGE",IF(ISNUMBER(SEARCH("CDS",E21)),"CDS",IF(ISNUMBER(SEARCH("TOGAF",E21)),"TOGAF",IF(ISNUMBER(SEARCH("DPI",E21)),"DPI",IF(ISNUMBER(SEARCH("DITS",E21)),"DITS",IF(ISNUMBER(SEARCH("AGILE",E21)),"AGILE",IF(ISNUMBER(SEARCH("Ciberseguridad",E21)),"Ciberseguridad","Otros"))))))))))))))</f>
        <v>CDS</v>
      </c>
      <c r="Q21" s="44" t="str">
        <f aca="false">IF(B21="","",IF(ISNUMBER(K21),IF(K21&lt;=3,"1-3 meses",IF(K21&lt;=6,"4-6 meses","+6 meses")),"Sin dato registrado"))</f>
        <v>Sin dato registrado</v>
      </c>
      <c r="R21" s="44" t="n">
        <f aca="false">IF(OR(B21="",M21=""),"",RANK(M21,$M$3:$M$306)+COUNTIF($M$3:M21,M21)-1)</f>
        <v>19</v>
      </c>
    </row>
    <row r="22" customFormat="false" ht="15" hidden="false" customHeight="true" outlineLevel="0" collapsed="false">
      <c r="A22" s="49" t="n">
        <v>22</v>
      </c>
      <c r="B22" s="1" t="s">
        <v>124</v>
      </c>
      <c r="C22" s="54"/>
      <c r="D22" s="1" t="s">
        <v>22</v>
      </c>
      <c r="E22" s="1" t="s">
        <v>65</v>
      </c>
      <c r="G22" s="24" t="s">
        <v>125</v>
      </c>
      <c r="H22" s="25" t="s">
        <v>126</v>
      </c>
      <c r="I22" s="25" t="n">
        <v>2050000</v>
      </c>
      <c r="M22" s="43" t="n">
        <f aca="false">IF(B22="","",IF(ISNUMBER(I22),I22,IFERROR(VALUE(SUBSTITUTE(SUBSTITUTE(I22,"$",""),".","")),0)))</f>
        <v>2050000</v>
      </c>
      <c r="N22" s="44" t="str">
        <f aca="false">IF(B22="","",PROPER(TRIM(D22)))</f>
        <v>Carolina</v>
      </c>
      <c r="O22" s="44" t="str">
        <f aca="false">IF(B22="","",IF(OR(ISNUMBER(SEARCH("AL DIA",L22)),ISNUMBER(SEARCH("AL DIA",F22))),"Al día",IF(OR(ISNUMBER(SEARCH("QUIETO",L22)),ISNUMBER(SEARCH("QUIETO",F22)),ISNUMBER(SEARCH("ESPERANDO",L22)),ISNUMBER(SEARCH("ESPERANDO",F22))),"Sin respuesta / Inactivo",IF(OR(ISNUMBER(SEARCH("PENDIENTE",L22)),ISNUMBER(SEARCH("PENDIENTE",F22)),ISNUMBER(SEARCH("COMPROMISO",F22)),ISNUMBER(SEARCH("COMPROMISO",L22)),ISNUMBER(SEARCH("PROCESO",F22)),ISNUMBER(SEARCH("LLAMAR",F22)),ISNUMBER(SEARCH("ABONO",J22)),EXACT(L22,"P"),EXACT(F22,"P")),"Pendiente / Compromiso","Sin gestionar"))))</f>
        <v>Sin gestionar</v>
      </c>
      <c r="P22" s="44" t="str">
        <f aca="false">IF(B22="","",IF(E22="","Sin definir",IF(ISNUMBER(SEARCH("ITIL",E22)),"ITIL",IF(ISNUMBER(SEARCH("ISO 27001",E22)),"ISO 27001",IF(ISNUMBER(SEARCH("ISO 42001",E22)),"ISO 42001",IF(ISNUMBER(SEARCH("ISO",E22)),"Otras ISO",IF(ISNUMBER(SEARCH("SCRUM",E22)),"SCRUM",IF(ISNUMBER(SEARCH("BRIDGE",E22)),"BRIDGE",IF(ISNUMBER(SEARCH("CDS",E22)),"CDS",IF(ISNUMBER(SEARCH("TOGAF",E22)),"TOGAF",IF(ISNUMBER(SEARCH("DPI",E22)),"DPI",IF(ISNUMBER(SEARCH("DITS",E22)),"DITS",IF(ISNUMBER(SEARCH("AGILE",E22)),"AGILE",IF(ISNUMBER(SEARCH("Ciberseguridad",E22)),"Ciberseguridad","Otros"))))))))))))))</f>
        <v>ITIL</v>
      </c>
      <c r="Q22" s="44" t="str">
        <f aca="false">IF(B22="","",IF(ISNUMBER(K22),IF(K22&lt;=3,"1-3 meses",IF(K22&lt;=6,"4-6 meses","+6 meses")),"Sin dato registrado"))</f>
        <v>Sin dato registrado</v>
      </c>
      <c r="R22" s="44" t="n">
        <f aca="false">IF(OR(B22="",M22=""),"",RANK(M22,$M$3:$M$306)+COUNTIF($M$3:M22,M22)-1)</f>
        <v>3</v>
      </c>
    </row>
    <row r="23" s="38" customFormat="true" ht="15" hidden="false" customHeight="true" outlineLevel="0" collapsed="false">
      <c r="A23" s="40" t="n">
        <v>23</v>
      </c>
      <c r="B23" s="38" t="s">
        <v>127</v>
      </c>
      <c r="C23" s="51"/>
      <c r="D23" s="38" t="s">
        <v>22</v>
      </c>
      <c r="E23" s="38" t="s">
        <v>65</v>
      </c>
      <c r="G23" s="36" t="s">
        <v>128</v>
      </c>
      <c r="H23" s="37" t="s">
        <v>128</v>
      </c>
      <c r="I23" s="37" t="n">
        <v>1850000</v>
      </c>
      <c r="J23" s="38" t="s">
        <v>129</v>
      </c>
      <c r="L23" s="38" t="s">
        <v>130</v>
      </c>
      <c r="M23" s="43" t="n">
        <f aca="false">IF(B23="","",IF(ISNUMBER(I23),I23,IFERROR(VALUE(SUBSTITUTE(SUBSTITUTE(I23,"$",""),".","")),0)))</f>
        <v>1850000</v>
      </c>
      <c r="N23" s="44" t="str">
        <f aca="false">IF(B23="","",PROPER(TRIM(D23)))</f>
        <v>Carolina</v>
      </c>
      <c r="O23" s="44" t="str">
        <f aca="false">IF(B23="","",IF(OR(ISNUMBER(SEARCH("AL DIA",L23)),ISNUMBER(SEARCH("AL DIA",F23))),"Al día",IF(OR(ISNUMBER(SEARCH("QUIETO",L23)),ISNUMBER(SEARCH("QUIETO",F23)),ISNUMBER(SEARCH("ESPERANDO",L23)),ISNUMBER(SEARCH("ESPERANDO",F23))),"Sin respuesta / Inactivo",IF(OR(ISNUMBER(SEARCH("PENDIENTE",L23)),ISNUMBER(SEARCH("PENDIENTE",F23)),ISNUMBER(SEARCH("COMPROMISO",F23)),ISNUMBER(SEARCH("COMPROMISO",L23)),ISNUMBER(SEARCH("PROCESO",F23)),ISNUMBER(SEARCH("LLAMAR",F23)),ISNUMBER(SEARCH("ABONO",J23)),EXACT(L23,"P"),EXACT(F23,"P")),"Pendiente / Compromiso","Sin gestionar"))))</f>
        <v>Al día</v>
      </c>
      <c r="P23" s="44" t="str">
        <f aca="false">IF(B23="","",IF(E23="","Sin definir",IF(ISNUMBER(SEARCH("ITIL",E23)),"ITIL",IF(ISNUMBER(SEARCH("ISO 27001",E23)),"ISO 27001",IF(ISNUMBER(SEARCH("ISO 42001",E23)),"ISO 42001",IF(ISNUMBER(SEARCH("ISO",E23)),"Otras ISO",IF(ISNUMBER(SEARCH("SCRUM",E23)),"SCRUM",IF(ISNUMBER(SEARCH("BRIDGE",E23)),"BRIDGE",IF(ISNUMBER(SEARCH("CDS",E23)),"CDS",IF(ISNUMBER(SEARCH("TOGAF",E23)),"TOGAF",IF(ISNUMBER(SEARCH("DPI",E23)),"DPI",IF(ISNUMBER(SEARCH("DITS",E23)),"DITS",IF(ISNUMBER(SEARCH("AGILE",E23)),"AGILE",IF(ISNUMBER(SEARCH("Ciberseguridad",E23)),"Ciberseguridad","Otros"))))))))))))))</f>
        <v>ITIL</v>
      </c>
      <c r="Q23" s="44" t="str">
        <f aca="false">IF(B23="","",IF(ISNUMBER(K23),IF(K23&lt;=3,"1-3 meses",IF(K23&lt;=6,"4-6 meses","+6 meses")),"Sin dato registrado"))</f>
        <v>Sin dato registrado</v>
      </c>
      <c r="R23" s="44" t="n">
        <f aca="false">IF(OR(B23="",M23=""),"",RANK(M23,$M$3:$M$306)+COUNTIF($M$3:M23,M23)-1)</f>
        <v>5</v>
      </c>
    </row>
    <row r="24" customFormat="false" ht="15" hidden="true" customHeight="true" outlineLevel="0" collapsed="false">
      <c r="A24" s="49" t="n">
        <v>22</v>
      </c>
      <c r="B24" s="1" t="s">
        <v>131</v>
      </c>
      <c r="C24" s="54"/>
      <c r="D24" s="1" t="s">
        <v>21</v>
      </c>
      <c r="E24" s="1" t="s">
        <v>34</v>
      </c>
      <c r="G24" s="24" t="s">
        <v>128</v>
      </c>
      <c r="I24" s="25" t="n">
        <v>1950000</v>
      </c>
      <c r="L24" s="1" t="s">
        <v>132</v>
      </c>
      <c r="M24" s="43" t="n">
        <f aca="false">IF(B24="","",IF(ISNUMBER(I24),I24,IFERROR(VALUE(SUBSTITUTE(SUBSTITUTE(I24,"$",""),".","")),0)))</f>
        <v>1950000</v>
      </c>
      <c r="N24" s="44" t="str">
        <f aca="false">IF(B24="","",PROPER(TRIM(D24)))</f>
        <v>Ximena</v>
      </c>
      <c r="O24" s="44" t="str">
        <f aca="false">IF(B24="","",IF(OR(ISNUMBER(SEARCH("AL DIA",L24)),ISNUMBER(SEARCH("AL DIA",F24))),"Al día",IF(OR(ISNUMBER(SEARCH("QUIETO",L24)),ISNUMBER(SEARCH("QUIETO",F24)),ISNUMBER(SEARCH("ESPERANDO",L24)),ISNUMBER(SEARCH("ESPERANDO",F24))),"Sin respuesta / Inactivo",IF(OR(ISNUMBER(SEARCH("PENDIENTE",L24)),ISNUMBER(SEARCH("PENDIENTE",F24)),ISNUMBER(SEARCH("COMPROMISO",F24)),ISNUMBER(SEARCH("COMPROMISO",L24)),ISNUMBER(SEARCH("PROCESO",F24)),ISNUMBER(SEARCH("LLAMAR",F24)),ISNUMBER(SEARCH("ABONO",J24)),EXACT(L24,"P"),EXACT(F24,"P")),"Pendiente / Compromiso","Sin gestionar"))))</f>
        <v>Sin respuesta / Inactivo</v>
      </c>
      <c r="P24" s="44" t="str">
        <f aca="false">IF(B24="","",IF(E24="","Sin definir",IF(ISNUMBER(SEARCH("ITIL",E24)),"ITIL",IF(ISNUMBER(SEARCH("ISO 27001",E24)),"ISO 27001",IF(ISNUMBER(SEARCH("ISO 42001",E24)),"ISO 42001",IF(ISNUMBER(SEARCH("ISO",E24)),"Otras ISO",IF(ISNUMBER(SEARCH("SCRUM",E24)),"SCRUM",IF(ISNUMBER(SEARCH("BRIDGE",E24)),"BRIDGE",IF(ISNUMBER(SEARCH("CDS",E24)),"CDS",IF(ISNUMBER(SEARCH("TOGAF",E24)),"TOGAF",IF(ISNUMBER(SEARCH("DPI",E24)),"DPI",IF(ISNUMBER(SEARCH("DITS",E24)),"DITS",IF(ISNUMBER(SEARCH("AGILE",E24)),"AGILE",IF(ISNUMBER(SEARCH("Ciberseguridad",E24)),"Ciberseguridad","Otros"))))))))))))))</f>
        <v>DPI</v>
      </c>
      <c r="Q24" s="44" t="str">
        <f aca="false">IF(B24="","",IF(ISNUMBER(K24),IF(K24&lt;=3,"1-3 meses",IF(K24&lt;=6,"4-6 meses","+6 meses")),"Sin dato registrado"))</f>
        <v>Sin dato registrado</v>
      </c>
      <c r="R24" s="44" t="n">
        <f aca="false">IF(OR(B24="",M24=""),"",RANK(M24,$M$3:$M$306)+COUNTIF($M$3:M24,M24)-1)</f>
        <v>4</v>
      </c>
    </row>
    <row r="25" customFormat="false" ht="15" hidden="true" customHeight="true" outlineLevel="0" collapsed="false">
      <c r="A25" s="50" t="n">
        <v>22</v>
      </c>
      <c r="C25" s="54"/>
      <c r="M25" s="44" t="str">
        <f aca="false">IF(B25="","",IF(ISNUMBER(I25),I25,IFERROR(VALUE(SUBSTITUTE(SUBSTITUTE(I25,"$",""),".","")),0)))</f>
        <v/>
      </c>
      <c r="N25" s="44" t="str">
        <f aca="false">IF(B25="","",PROPER(TRIM(D25)))</f>
        <v/>
      </c>
      <c r="O25" s="44" t="str">
        <f aca="false">IF(B25="","",IF(OR(ISNUMBER(SEARCH("AL DIA",L25)),ISNUMBER(SEARCH("AL DIA",F25))),"Al día",IF(OR(ISNUMBER(SEARCH("QUIETO",L25)),ISNUMBER(SEARCH("QUIETO",F25)),ISNUMBER(SEARCH("ESPERANDO",L25)),ISNUMBER(SEARCH("ESPERANDO",F25))),"Sin respuesta / Inactivo",IF(OR(ISNUMBER(SEARCH("PENDIENTE",L25)),ISNUMBER(SEARCH("PENDIENTE",F25)),ISNUMBER(SEARCH("COMPROMISO",F25)),ISNUMBER(SEARCH("COMPROMISO",L25)),ISNUMBER(SEARCH("PROCESO",F25)),ISNUMBER(SEARCH("LLAMAR",F25)),ISNUMBER(SEARCH("ABONO",J25)),EXACT(L25,"P"),EXACT(F25,"P")),"Pendiente / Compromiso","Sin gestionar"))))</f>
        <v/>
      </c>
      <c r="P25" s="44" t="str">
        <f aca="false">IF(B25="","",IF(E25="","Sin definir",IF(ISNUMBER(SEARCH("ITIL",E25)),"ITIL",IF(ISNUMBER(SEARCH("ISO 27001",E25)),"ISO 27001",IF(ISNUMBER(SEARCH("ISO 42001",E25)),"ISO 42001",IF(ISNUMBER(SEARCH("ISO",E25)),"Otras ISO",IF(ISNUMBER(SEARCH("SCRUM",E25)),"SCRUM",IF(ISNUMBER(SEARCH("BRIDGE",E25)),"BRIDGE",IF(ISNUMBER(SEARCH("CDS",E25)),"CDS",IF(ISNUMBER(SEARCH("TOGAF",E25)),"TOGAF",IF(ISNUMBER(SEARCH("DPI",E25)),"DPI",IF(ISNUMBER(SEARCH("DITS",E25)),"DITS",IF(ISNUMBER(SEARCH("AGILE",E25)),"AGILE",IF(ISNUMBER(SEARCH("Ciberseguridad",E25)),"Ciberseguridad","Otros"))))))))))))))</f>
        <v/>
      </c>
      <c r="Q25" s="44" t="str">
        <f aca="false">IF(B25="","",IF(ISNUMBER(K25),IF(K25&lt;=3,"1-3 meses",IF(K25&lt;=6,"4-6 meses","+6 meses")),"Sin dato registrado"))</f>
        <v/>
      </c>
      <c r="R25" s="44" t="str">
        <f aca="false">IF(OR(B25="",M25=""),"",RANK(M25,$M$3:$M$306)+COUNTIF($M$3:M25,M25)-1)</f>
        <v/>
      </c>
    </row>
    <row r="26" customFormat="false" ht="15" hidden="true" customHeight="true" outlineLevel="0" collapsed="false">
      <c r="A26" s="49" t="n">
        <v>22</v>
      </c>
      <c r="C26" s="54"/>
      <c r="M26" s="44" t="str">
        <f aca="false">IF(B26="","",IF(ISNUMBER(I26),I26,IFERROR(VALUE(SUBSTITUTE(SUBSTITUTE(I26,"$",""),".","")),0)))</f>
        <v/>
      </c>
      <c r="N26" s="44" t="str">
        <f aca="false">IF(B26="","",PROPER(TRIM(D26)))</f>
        <v/>
      </c>
      <c r="O26" s="44" t="str">
        <f aca="false">IF(B26="","",IF(OR(ISNUMBER(SEARCH("AL DIA",L26)),ISNUMBER(SEARCH("AL DIA",F26))),"Al día",IF(OR(ISNUMBER(SEARCH("QUIETO",L26)),ISNUMBER(SEARCH("QUIETO",F26)),ISNUMBER(SEARCH("ESPERANDO",L26)),ISNUMBER(SEARCH("ESPERANDO",F26))),"Sin respuesta / Inactivo",IF(OR(ISNUMBER(SEARCH("PENDIENTE",L26)),ISNUMBER(SEARCH("PENDIENTE",F26)),ISNUMBER(SEARCH("COMPROMISO",F26)),ISNUMBER(SEARCH("COMPROMISO",L26)),ISNUMBER(SEARCH("PROCESO",F26)),ISNUMBER(SEARCH("LLAMAR",F26)),ISNUMBER(SEARCH("ABONO",J26)),EXACT(L26,"P"),EXACT(F26,"P")),"Pendiente / Compromiso","Sin gestionar"))))</f>
        <v/>
      </c>
      <c r="P26" s="44" t="str">
        <f aca="false">IF(B26="","",IF(E26="","Sin definir",IF(ISNUMBER(SEARCH("ITIL",E26)),"ITIL",IF(ISNUMBER(SEARCH("ISO 27001",E26)),"ISO 27001",IF(ISNUMBER(SEARCH("ISO 42001",E26)),"ISO 42001",IF(ISNUMBER(SEARCH("ISO",E26)),"Otras ISO",IF(ISNUMBER(SEARCH("SCRUM",E26)),"SCRUM",IF(ISNUMBER(SEARCH("BRIDGE",E26)),"BRIDGE",IF(ISNUMBER(SEARCH("CDS",E26)),"CDS",IF(ISNUMBER(SEARCH("TOGAF",E26)),"TOGAF",IF(ISNUMBER(SEARCH("DPI",E26)),"DPI",IF(ISNUMBER(SEARCH("DITS",E26)),"DITS",IF(ISNUMBER(SEARCH("AGILE",E26)),"AGILE",IF(ISNUMBER(SEARCH("Ciberseguridad",E26)),"Ciberseguridad","Otros"))))))))))))))</f>
        <v/>
      </c>
      <c r="Q26" s="44" t="str">
        <f aca="false">IF(B26="","",IF(ISNUMBER(K26),IF(K26&lt;=3,"1-3 meses",IF(K26&lt;=6,"4-6 meses","+6 meses")),"Sin dato registrado"))</f>
        <v/>
      </c>
      <c r="R26" s="44" t="str">
        <f aca="false">IF(OR(B26="",M26=""),"",RANK(M26,$M$3:$M$306)+COUNTIF($M$3:M26,M26)-1)</f>
        <v/>
      </c>
    </row>
    <row r="27" customFormat="false" ht="15" hidden="true" customHeight="true" outlineLevel="0" collapsed="false">
      <c r="A27" s="50" t="n">
        <v>22</v>
      </c>
      <c r="C27" s="54"/>
      <c r="M27" s="44" t="str">
        <f aca="false">IF(B27="","",IF(ISNUMBER(I27),I27,IFERROR(VALUE(SUBSTITUTE(SUBSTITUTE(I27,"$",""),".","")),0)))</f>
        <v/>
      </c>
      <c r="N27" s="44" t="str">
        <f aca="false">IF(B27="","",PROPER(TRIM(D27)))</f>
        <v/>
      </c>
      <c r="O27" s="44" t="str">
        <f aca="false">IF(B27="","",IF(OR(ISNUMBER(SEARCH("AL DIA",L27)),ISNUMBER(SEARCH("AL DIA",F27))),"Al día",IF(OR(ISNUMBER(SEARCH("QUIETO",L27)),ISNUMBER(SEARCH("QUIETO",F27)),ISNUMBER(SEARCH("ESPERANDO",L27)),ISNUMBER(SEARCH("ESPERANDO",F27))),"Sin respuesta / Inactivo",IF(OR(ISNUMBER(SEARCH("PENDIENTE",L27)),ISNUMBER(SEARCH("PENDIENTE",F27)),ISNUMBER(SEARCH("COMPROMISO",F27)),ISNUMBER(SEARCH("COMPROMISO",L27)),ISNUMBER(SEARCH("PROCESO",F27)),ISNUMBER(SEARCH("LLAMAR",F27)),ISNUMBER(SEARCH("ABONO",J27)),EXACT(L27,"P"),EXACT(F27,"P")),"Pendiente / Compromiso","Sin gestionar"))))</f>
        <v/>
      </c>
      <c r="P27" s="44" t="str">
        <f aca="false">IF(B27="","",IF(E27="","Sin definir",IF(ISNUMBER(SEARCH("ITIL",E27)),"ITIL",IF(ISNUMBER(SEARCH("ISO 27001",E27)),"ISO 27001",IF(ISNUMBER(SEARCH("ISO 42001",E27)),"ISO 42001",IF(ISNUMBER(SEARCH("ISO",E27)),"Otras ISO",IF(ISNUMBER(SEARCH("SCRUM",E27)),"SCRUM",IF(ISNUMBER(SEARCH("BRIDGE",E27)),"BRIDGE",IF(ISNUMBER(SEARCH("CDS",E27)),"CDS",IF(ISNUMBER(SEARCH("TOGAF",E27)),"TOGAF",IF(ISNUMBER(SEARCH("DPI",E27)),"DPI",IF(ISNUMBER(SEARCH("DITS",E27)),"DITS",IF(ISNUMBER(SEARCH("AGILE",E27)),"AGILE",IF(ISNUMBER(SEARCH("Ciberseguridad",E27)),"Ciberseguridad","Otros"))))))))))))))</f>
        <v/>
      </c>
      <c r="Q27" s="44" t="str">
        <f aca="false">IF(B27="","",IF(ISNUMBER(K27),IF(K27&lt;=3,"1-3 meses",IF(K27&lt;=6,"4-6 meses","+6 meses")),"Sin dato registrado"))</f>
        <v/>
      </c>
      <c r="R27" s="44" t="str">
        <f aca="false">IF(OR(B27="",M27=""),"",RANK(M27,$M$3:$M$306)+COUNTIF($M$3:M27,M27)-1)</f>
        <v/>
      </c>
    </row>
    <row r="28" customFormat="false" ht="15" hidden="true" customHeight="true" outlineLevel="0" collapsed="false">
      <c r="A28" s="49" t="n">
        <v>22</v>
      </c>
      <c r="C28" s="54"/>
      <c r="M28" s="44" t="str">
        <f aca="false">IF(B28="","",IF(ISNUMBER(I28),I28,IFERROR(VALUE(SUBSTITUTE(SUBSTITUTE(I28,"$",""),".","")),0)))</f>
        <v/>
      </c>
      <c r="N28" s="44" t="str">
        <f aca="false">IF(B28="","",PROPER(TRIM(D28)))</f>
        <v/>
      </c>
      <c r="O28" s="44" t="str">
        <f aca="false">IF(B28="","",IF(OR(ISNUMBER(SEARCH("AL DIA",L28)),ISNUMBER(SEARCH("AL DIA",F28))),"Al día",IF(OR(ISNUMBER(SEARCH("QUIETO",L28)),ISNUMBER(SEARCH("QUIETO",F28)),ISNUMBER(SEARCH("ESPERANDO",L28)),ISNUMBER(SEARCH("ESPERANDO",F28))),"Sin respuesta / Inactivo",IF(OR(ISNUMBER(SEARCH("PENDIENTE",L28)),ISNUMBER(SEARCH("PENDIENTE",F28)),ISNUMBER(SEARCH("COMPROMISO",F28)),ISNUMBER(SEARCH("COMPROMISO",L28)),ISNUMBER(SEARCH("PROCESO",F28)),ISNUMBER(SEARCH("LLAMAR",F28)),ISNUMBER(SEARCH("ABONO",J28)),EXACT(L28,"P"),EXACT(F28,"P")),"Pendiente / Compromiso","Sin gestionar"))))</f>
        <v/>
      </c>
      <c r="P28" s="44" t="str">
        <f aca="false">IF(B28="","",IF(E28="","Sin definir",IF(ISNUMBER(SEARCH("ITIL",E28)),"ITIL",IF(ISNUMBER(SEARCH("ISO 27001",E28)),"ISO 27001",IF(ISNUMBER(SEARCH("ISO 42001",E28)),"ISO 42001",IF(ISNUMBER(SEARCH("ISO",E28)),"Otras ISO",IF(ISNUMBER(SEARCH("SCRUM",E28)),"SCRUM",IF(ISNUMBER(SEARCH("BRIDGE",E28)),"BRIDGE",IF(ISNUMBER(SEARCH("CDS",E28)),"CDS",IF(ISNUMBER(SEARCH("TOGAF",E28)),"TOGAF",IF(ISNUMBER(SEARCH("DPI",E28)),"DPI",IF(ISNUMBER(SEARCH("DITS",E28)),"DITS",IF(ISNUMBER(SEARCH("AGILE",E28)),"AGILE",IF(ISNUMBER(SEARCH("Ciberseguridad",E28)),"Ciberseguridad","Otros"))))))))))))))</f>
        <v/>
      </c>
      <c r="Q28" s="44" t="str">
        <f aca="false">IF(B28="","",IF(ISNUMBER(K28),IF(K28&lt;=3,"1-3 meses",IF(K28&lt;=6,"4-6 meses","+6 meses")),"Sin dato registrado"))</f>
        <v/>
      </c>
      <c r="R28" s="44" t="str">
        <f aca="false">IF(OR(B28="",M28=""),"",RANK(M28,$M$3:$M$306)+COUNTIF($M$3:M28,M28)-1)</f>
        <v/>
      </c>
    </row>
    <row r="29" customFormat="false" ht="15" hidden="true" customHeight="true" outlineLevel="0" collapsed="false">
      <c r="A29" s="50" t="n">
        <v>22</v>
      </c>
      <c r="C29" s="54"/>
      <c r="M29" s="44" t="str">
        <f aca="false">IF(B29="","",IF(ISNUMBER(I29),I29,IFERROR(VALUE(SUBSTITUTE(SUBSTITUTE(I29,"$",""),".","")),0)))</f>
        <v/>
      </c>
      <c r="N29" s="44" t="str">
        <f aca="false">IF(B29="","",PROPER(TRIM(D29)))</f>
        <v/>
      </c>
      <c r="O29" s="44" t="str">
        <f aca="false">IF(B29="","",IF(OR(ISNUMBER(SEARCH("AL DIA",L29)),ISNUMBER(SEARCH("AL DIA",F29))),"Al día",IF(OR(ISNUMBER(SEARCH("QUIETO",L29)),ISNUMBER(SEARCH("QUIETO",F29)),ISNUMBER(SEARCH("ESPERANDO",L29)),ISNUMBER(SEARCH("ESPERANDO",F29))),"Sin respuesta / Inactivo",IF(OR(ISNUMBER(SEARCH("PENDIENTE",L29)),ISNUMBER(SEARCH("PENDIENTE",F29)),ISNUMBER(SEARCH("COMPROMISO",F29)),ISNUMBER(SEARCH("COMPROMISO",L29)),ISNUMBER(SEARCH("PROCESO",F29)),ISNUMBER(SEARCH("LLAMAR",F29)),ISNUMBER(SEARCH("ABONO",J29)),EXACT(L29,"P"),EXACT(F29,"P")),"Pendiente / Compromiso","Sin gestionar"))))</f>
        <v/>
      </c>
      <c r="P29" s="44" t="str">
        <f aca="false">IF(B29="","",IF(E29="","Sin definir",IF(ISNUMBER(SEARCH("ITIL",E29)),"ITIL",IF(ISNUMBER(SEARCH("ISO 27001",E29)),"ISO 27001",IF(ISNUMBER(SEARCH("ISO 42001",E29)),"ISO 42001",IF(ISNUMBER(SEARCH("ISO",E29)),"Otras ISO",IF(ISNUMBER(SEARCH("SCRUM",E29)),"SCRUM",IF(ISNUMBER(SEARCH("BRIDGE",E29)),"BRIDGE",IF(ISNUMBER(SEARCH("CDS",E29)),"CDS",IF(ISNUMBER(SEARCH("TOGAF",E29)),"TOGAF",IF(ISNUMBER(SEARCH("DPI",E29)),"DPI",IF(ISNUMBER(SEARCH("DITS",E29)),"DITS",IF(ISNUMBER(SEARCH("AGILE",E29)),"AGILE",IF(ISNUMBER(SEARCH("Ciberseguridad",E29)),"Ciberseguridad","Otros"))))))))))))))</f>
        <v/>
      </c>
      <c r="Q29" s="44" t="str">
        <f aca="false">IF(B29="","",IF(ISNUMBER(K29),IF(K29&lt;=3,"1-3 meses",IF(K29&lt;=6,"4-6 meses","+6 meses")),"Sin dato registrado"))</f>
        <v/>
      </c>
      <c r="R29" s="44" t="str">
        <f aca="false">IF(OR(B29="",M29=""),"",RANK(M29,$M$3:$M$306)+COUNTIF($M$3:M29,M29)-1)</f>
        <v/>
      </c>
    </row>
    <row r="30" customFormat="false" ht="15" hidden="true" customHeight="true" outlineLevel="0" collapsed="false">
      <c r="A30" s="49" t="n">
        <v>22</v>
      </c>
      <c r="C30" s="54"/>
      <c r="M30" s="44" t="str">
        <f aca="false">IF(B30="","",IF(ISNUMBER(I30),I30,IFERROR(VALUE(SUBSTITUTE(SUBSTITUTE(I30,"$",""),".","")),0)))</f>
        <v/>
      </c>
      <c r="N30" s="44" t="str">
        <f aca="false">IF(B30="","",PROPER(TRIM(D30)))</f>
        <v/>
      </c>
      <c r="O30" s="44" t="str">
        <f aca="false">IF(B30="","",IF(OR(ISNUMBER(SEARCH("AL DIA",L30)),ISNUMBER(SEARCH("AL DIA",F30))),"Al día",IF(OR(ISNUMBER(SEARCH("QUIETO",L30)),ISNUMBER(SEARCH("QUIETO",F30)),ISNUMBER(SEARCH("ESPERANDO",L30)),ISNUMBER(SEARCH("ESPERANDO",F30))),"Sin respuesta / Inactivo",IF(OR(ISNUMBER(SEARCH("PENDIENTE",L30)),ISNUMBER(SEARCH("PENDIENTE",F30)),ISNUMBER(SEARCH("COMPROMISO",F30)),ISNUMBER(SEARCH("COMPROMISO",L30)),ISNUMBER(SEARCH("PROCESO",F30)),ISNUMBER(SEARCH("LLAMAR",F30)),ISNUMBER(SEARCH("ABONO",J30)),EXACT(L30,"P"),EXACT(F30,"P")),"Pendiente / Compromiso","Sin gestionar"))))</f>
        <v/>
      </c>
      <c r="P30" s="44" t="str">
        <f aca="false">IF(B30="","",IF(E30="","Sin definir",IF(ISNUMBER(SEARCH("ITIL",E30)),"ITIL",IF(ISNUMBER(SEARCH("ISO 27001",E30)),"ISO 27001",IF(ISNUMBER(SEARCH("ISO 42001",E30)),"ISO 42001",IF(ISNUMBER(SEARCH("ISO",E30)),"Otras ISO",IF(ISNUMBER(SEARCH("SCRUM",E30)),"SCRUM",IF(ISNUMBER(SEARCH("BRIDGE",E30)),"BRIDGE",IF(ISNUMBER(SEARCH("CDS",E30)),"CDS",IF(ISNUMBER(SEARCH("TOGAF",E30)),"TOGAF",IF(ISNUMBER(SEARCH("DPI",E30)),"DPI",IF(ISNUMBER(SEARCH("DITS",E30)),"DITS",IF(ISNUMBER(SEARCH("AGILE",E30)),"AGILE",IF(ISNUMBER(SEARCH("Ciberseguridad",E30)),"Ciberseguridad","Otros"))))))))))))))</f>
        <v/>
      </c>
      <c r="Q30" s="44" t="str">
        <f aca="false">IF(B30="","",IF(ISNUMBER(K30),IF(K30&lt;=3,"1-3 meses",IF(K30&lt;=6,"4-6 meses","+6 meses")),"Sin dato registrado"))</f>
        <v/>
      </c>
      <c r="R30" s="44" t="str">
        <f aca="false">IF(OR(B30="",M30=""),"",RANK(M30,$M$3:$M$306)+COUNTIF($M$3:M30,M30)-1)</f>
        <v/>
      </c>
    </row>
    <row r="31" customFormat="false" ht="15" hidden="true" customHeight="true" outlineLevel="0" collapsed="false">
      <c r="A31" s="50" t="n">
        <v>22</v>
      </c>
      <c r="C31" s="54"/>
      <c r="M31" s="44" t="str">
        <f aca="false">IF(B31="","",IF(ISNUMBER(I31),I31,IFERROR(VALUE(SUBSTITUTE(SUBSTITUTE(I31,"$",""),".","")),0)))</f>
        <v/>
      </c>
      <c r="N31" s="44" t="str">
        <f aca="false">IF(B31="","",PROPER(TRIM(D31)))</f>
        <v/>
      </c>
      <c r="O31" s="44" t="str">
        <f aca="false">IF(B31="","",IF(OR(ISNUMBER(SEARCH("AL DIA",L31)),ISNUMBER(SEARCH("AL DIA",F31))),"Al día",IF(OR(ISNUMBER(SEARCH("QUIETO",L31)),ISNUMBER(SEARCH("QUIETO",F31)),ISNUMBER(SEARCH("ESPERANDO",L31)),ISNUMBER(SEARCH("ESPERANDO",F31))),"Sin respuesta / Inactivo",IF(OR(ISNUMBER(SEARCH("PENDIENTE",L31)),ISNUMBER(SEARCH("PENDIENTE",F31)),ISNUMBER(SEARCH("COMPROMISO",F31)),ISNUMBER(SEARCH("COMPROMISO",L31)),ISNUMBER(SEARCH("PROCESO",F31)),ISNUMBER(SEARCH("LLAMAR",F31)),ISNUMBER(SEARCH("ABONO",J31)),EXACT(L31,"P"),EXACT(F31,"P")),"Pendiente / Compromiso","Sin gestionar"))))</f>
        <v/>
      </c>
      <c r="P31" s="44" t="str">
        <f aca="false">IF(B31="","",IF(E31="","Sin definir",IF(ISNUMBER(SEARCH("ITIL",E31)),"ITIL",IF(ISNUMBER(SEARCH("ISO 27001",E31)),"ISO 27001",IF(ISNUMBER(SEARCH("ISO 42001",E31)),"ISO 42001",IF(ISNUMBER(SEARCH("ISO",E31)),"Otras ISO",IF(ISNUMBER(SEARCH("SCRUM",E31)),"SCRUM",IF(ISNUMBER(SEARCH("BRIDGE",E31)),"BRIDGE",IF(ISNUMBER(SEARCH("CDS",E31)),"CDS",IF(ISNUMBER(SEARCH("TOGAF",E31)),"TOGAF",IF(ISNUMBER(SEARCH("DPI",E31)),"DPI",IF(ISNUMBER(SEARCH("DITS",E31)),"DITS",IF(ISNUMBER(SEARCH("AGILE",E31)),"AGILE",IF(ISNUMBER(SEARCH("Ciberseguridad",E31)),"Ciberseguridad","Otros"))))))))))))))</f>
        <v/>
      </c>
      <c r="Q31" s="44" t="str">
        <f aca="false">IF(B31="","",IF(ISNUMBER(K31),IF(K31&lt;=3,"1-3 meses",IF(K31&lt;=6,"4-6 meses","+6 meses")),"Sin dato registrado"))</f>
        <v/>
      </c>
      <c r="R31" s="44" t="str">
        <f aca="false">IF(OR(B31="",M31=""),"",RANK(M31,$M$3:$M$306)+COUNTIF($M$3:M31,M31)-1)</f>
        <v/>
      </c>
    </row>
    <row r="32" customFormat="false" ht="15" hidden="true" customHeight="true" outlineLevel="0" collapsed="false">
      <c r="A32" s="49" t="n">
        <v>22</v>
      </c>
      <c r="C32" s="54"/>
      <c r="M32" s="44" t="str">
        <f aca="false">IF(B32="","",IF(ISNUMBER(I32),I32,IFERROR(VALUE(SUBSTITUTE(SUBSTITUTE(I32,"$",""),".","")),0)))</f>
        <v/>
      </c>
      <c r="N32" s="44" t="str">
        <f aca="false">IF(B32="","",PROPER(TRIM(D32)))</f>
        <v/>
      </c>
      <c r="O32" s="44" t="str">
        <f aca="false">IF(B32="","",IF(OR(ISNUMBER(SEARCH("AL DIA",L32)),ISNUMBER(SEARCH("AL DIA",F32))),"Al día",IF(OR(ISNUMBER(SEARCH("QUIETO",L32)),ISNUMBER(SEARCH("QUIETO",F32)),ISNUMBER(SEARCH("ESPERANDO",L32)),ISNUMBER(SEARCH("ESPERANDO",F32))),"Sin respuesta / Inactivo",IF(OR(ISNUMBER(SEARCH("PENDIENTE",L32)),ISNUMBER(SEARCH("PENDIENTE",F32)),ISNUMBER(SEARCH("COMPROMISO",F32)),ISNUMBER(SEARCH("COMPROMISO",L32)),ISNUMBER(SEARCH("PROCESO",F32)),ISNUMBER(SEARCH("LLAMAR",F32)),ISNUMBER(SEARCH("ABONO",J32)),EXACT(L32,"P"),EXACT(F32,"P")),"Pendiente / Compromiso","Sin gestionar"))))</f>
        <v/>
      </c>
      <c r="P32" s="44" t="str">
        <f aca="false">IF(B32="","",IF(E32="","Sin definir",IF(ISNUMBER(SEARCH("ITIL",E32)),"ITIL",IF(ISNUMBER(SEARCH("ISO 27001",E32)),"ISO 27001",IF(ISNUMBER(SEARCH("ISO 42001",E32)),"ISO 42001",IF(ISNUMBER(SEARCH("ISO",E32)),"Otras ISO",IF(ISNUMBER(SEARCH("SCRUM",E32)),"SCRUM",IF(ISNUMBER(SEARCH("BRIDGE",E32)),"BRIDGE",IF(ISNUMBER(SEARCH("CDS",E32)),"CDS",IF(ISNUMBER(SEARCH("TOGAF",E32)),"TOGAF",IF(ISNUMBER(SEARCH("DPI",E32)),"DPI",IF(ISNUMBER(SEARCH("DITS",E32)),"DITS",IF(ISNUMBER(SEARCH("AGILE",E32)),"AGILE",IF(ISNUMBER(SEARCH("Ciberseguridad",E32)),"Ciberseguridad","Otros"))))))))))))))</f>
        <v/>
      </c>
      <c r="Q32" s="44" t="str">
        <f aca="false">IF(B32="","",IF(ISNUMBER(K32),IF(K32&lt;=3,"1-3 meses",IF(K32&lt;=6,"4-6 meses","+6 meses")),"Sin dato registrado"))</f>
        <v/>
      </c>
      <c r="R32" s="44" t="str">
        <f aca="false">IF(OR(B32="",M32=""),"",RANK(M32,$M$3:$M$306)+COUNTIF($M$3:M32,M32)-1)</f>
        <v/>
      </c>
    </row>
    <row r="33" customFormat="false" ht="15" hidden="true" customHeight="true" outlineLevel="0" collapsed="false">
      <c r="A33" s="50" t="n">
        <v>22</v>
      </c>
      <c r="C33" s="54"/>
      <c r="M33" s="44" t="str">
        <f aca="false">IF(B33="","",IF(ISNUMBER(I33),I33,IFERROR(VALUE(SUBSTITUTE(SUBSTITUTE(I33,"$",""),".","")),0)))</f>
        <v/>
      </c>
      <c r="N33" s="44" t="str">
        <f aca="false">IF(B33="","",PROPER(TRIM(D33)))</f>
        <v/>
      </c>
      <c r="O33" s="44" t="str">
        <f aca="false">IF(B33="","",IF(OR(ISNUMBER(SEARCH("AL DIA",L33)),ISNUMBER(SEARCH("AL DIA",F33))),"Al día",IF(OR(ISNUMBER(SEARCH("QUIETO",L33)),ISNUMBER(SEARCH("QUIETO",F33)),ISNUMBER(SEARCH("ESPERANDO",L33)),ISNUMBER(SEARCH("ESPERANDO",F33))),"Sin respuesta / Inactivo",IF(OR(ISNUMBER(SEARCH("PENDIENTE",L33)),ISNUMBER(SEARCH("PENDIENTE",F33)),ISNUMBER(SEARCH("COMPROMISO",F33)),ISNUMBER(SEARCH("COMPROMISO",L33)),ISNUMBER(SEARCH("PROCESO",F33)),ISNUMBER(SEARCH("LLAMAR",F33)),ISNUMBER(SEARCH("ABONO",J33)),EXACT(L33,"P"),EXACT(F33,"P")),"Pendiente / Compromiso","Sin gestionar"))))</f>
        <v/>
      </c>
      <c r="P33" s="44" t="str">
        <f aca="false">IF(B33="","",IF(E33="","Sin definir",IF(ISNUMBER(SEARCH("ITIL",E33)),"ITIL",IF(ISNUMBER(SEARCH("ISO 27001",E33)),"ISO 27001",IF(ISNUMBER(SEARCH("ISO 42001",E33)),"ISO 42001",IF(ISNUMBER(SEARCH("ISO",E33)),"Otras ISO",IF(ISNUMBER(SEARCH("SCRUM",E33)),"SCRUM",IF(ISNUMBER(SEARCH("BRIDGE",E33)),"BRIDGE",IF(ISNUMBER(SEARCH("CDS",E33)),"CDS",IF(ISNUMBER(SEARCH("TOGAF",E33)),"TOGAF",IF(ISNUMBER(SEARCH("DPI",E33)),"DPI",IF(ISNUMBER(SEARCH("DITS",E33)),"DITS",IF(ISNUMBER(SEARCH("AGILE",E33)),"AGILE",IF(ISNUMBER(SEARCH("Ciberseguridad",E33)),"Ciberseguridad","Otros"))))))))))))))</f>
        <v/>
      </c>
      <c r="Q33" s="44" t="str">
        <f aca="false">IF(B33="","",IF(ISNUMBER(K33),IF(K33&lt;=3,"1-3 meses",IF(K33&lt;=6,"4-6 meses","+6 meses")),"Sin dato registrado"))</f>
        <v/>
      </c>
      <c r="R33" s="44" t="str">
        <f aca="false">IF(OR(B33="",M33=""),"",RANK(M33,$M$3:$M$306)+COUNTIF($M$3:M33,M33)-1)</f>
        <v/>
      </c>
    </row>
    <row r="34" customFormat="false" ht="15" hidden="true" customHeight="true" outlineLevel="0" collapsed="false">
      <c r="A34" s="49" t="n">
        <v>22</v>
      </c>
      <c r="C34" s="54"/>
      <c r="M34" s="44" t="str">
        <f aca="false">IF(B34="","",IF(ISNUMBER(I34),I34,IFERROR(VALUE(SUBSTITUTE(SUBSTITUTE(I34,"$",""),".","")),0)))</f>
        <v/>
      </c>
      <c r="N34" s="44" t="str">
        <f aca="false">IF(B34="","",PROPER(TRIM(D34)))</f>
        <v/>
      </c>
      <c r="O34" s="44" t="str">
        <f aca="false">IF(B34="","",IF(OR(ISNUMBER(SEARCH("AL DIA",L34)),ISNUMBER(SEARCH("AL DIA",F34))),"Al día",IF(OR(ISNUMBER(SEARCH("QUIETO",L34)),ISNUMBER(SEARCH("QUIETO",F34)),ISNUMBER(SEARCH("ESPERANDO",L34)),ISNUMBER(SEARCH("ESPERANDO",F34))),"Sin respuesta / Inactivo",IF(OR(ISNUMBER(SEARCH("PENDIENTE",L34)),ISNUMBER(SEARCH("PENDIENTE",F34)),ISNUMBER(SEARCH("COMPROMISO",F34)),ISNUMBER(SEARCH("COMPROMISO",L34)),ISNUMBER(SEARCH("PROCESO",F34)),ISNUMBER(SEARCH("LLAMAR",F34)),ISNUMBER(SEARCH("ABONO",J34)),EXACT(L34,"P"),EXACT(F34,"P")),"Pendiente / Compromiso","Sin gestionar"))))</f>
        <v/>
      </c>
      <c r="P34" s="44" t="str">
        <f aca="false">IF(B34="","",IF(E34="","Sin definir",IF(ISNUMBER(SEARCH("ITIL",E34)),"ITIL",IF(ISNUMBER(SEARCH("ISO 27001",E34)),"ISO 27001",IF(ISNUMBER(SEARCH("ISO 42001",E34)),"ISO 42001",IF(ISNUMBER(SEARCH("ISO",E34)),"Otras ISO",IF(ISNUMBER(SEARCH("SCRUM",E34)),"SCRUM",IF(ISNUMBER(SEARCH("BRIDGE",E34)),"BRIDGE",IF(ISNUMBER(SEARCH("CDS",E34)),"CDS",IF(ISNUMBER(SEARCH("TOGAF",E34)),"TOGAF",IF(ISNUMBER(SEARCH("DPI",E34)),"DPI",IF(ISNUMBER(SEARCH("DITS",E34)),"DITS",IF(ISNUMBER(SEARCH("AGILE",E34)),"AGILE",IF(ISNUMBER(SEARCH("Ciberseguridad",E34)),"Ciberseguridad","Otros"))))))))))))))</f>
        <v/>
      </c>
      <c r="Q34" s="44" t="str">
        <f aca="false">IF(B34="","",IF(ISNUMBER(K34),IF(K34&lt;=3,"1-3 meses",IF(K34&lt;=6,"4-6 meses","+6 meses")),"Sin dato registrado"))</f>
        <v/>
      </c>
      <c r="R34" s="44" t="str">
        <f aca="false">IF(OR(B34="",M34=""),"",RANK(M34,$M$3:$M$306)+COUNTIF($M$3:M34,M34)-1)</f>
        <v/>
      </c>
    </row>
    <row r="35" customFormat="false" ht="15" hidden="true" customHeight="true" outlineLevel="0" collapsed="false">
      <c r="A35" s="50" t="n">
        <v>22</v>
      </c>
      <c r="C35" s="54"/>
      <c r="M35" s="44" t="str">
        <f aca="false">IF(B35="","",IF(ISNUMBER(I35),I35,IFERROR(VALUE(SUBSTITUTE(SUBSTITUTE(I35,"$",""),".","")),0)))</f>
        <v/>
      </c>
      <c r="N35" s="44" t="str">
        <f aca="false">IF(B35="","",PROPER(TRIM(D35)))</f>
        <v/>
      </c>
      <c r="O35" s="44" t="str">
        <f aca="false">IF(B35="","",IF(OR(ISNUMBER(SEARCH("AL DIA",L35)),ISNUMBER(SEARCH("AL DIA",F35))),"Al día",IF(OR(ISNUMBER(SEARCH("QUIETO",L35)),ISNUMBER(SEARCH("QUIETO",F35)),ISNUMBER(SEARCH("ESPERANDO",L35)),ISNUMBER(SEARCH("ESPERANDO",F35))),"Sin respuesta / Inactivo",IF(OR(ISNUMBER(SEARCH("PENDIENTE",L35)),ISNUMBER(SEARCH("PENDIENTE",F35)),ISNUMBER(SEARCH("COMPROMISO",F35)),ISNUMBER(SEARCH("COMPROMISO",L35)),ISNUMBER(SEARCH("PROCESO",F35)),ISNUMBER(SEARCH("LLAMAR",F35)),ISNUMBER(SEARCH("ABONO",J35)),EXACT(L35,"P"),EXACT(F35,"P")),"Pendiente / Compromiso","Sin gestionar"))))</f>
        <v/>
      </c>
      <c r="P35" s="44" t="str">
        <f aca="false">IF(B35="","",IF(E35="","Sin definir",IF(ISNUMBER(SEARCH("ITIL",E35)),"ITIL",IF(ISNUMBER(SEARCH("ISO 27001",E35)),"ISO 27001",IF(ISNUMBER(SEARCH("ISO 42001",E35)),"ISO 42001",IF(ISNUMBER(SEARCH("ISO",E35)),"Otras ISO",IF(ISNUMBER(SEARCH("SCRUM",E35)),"SCRUM",IF(ISNUMBER(SEARCH("BRIDGE",E35)),"BRIDGE",IF(ISNUMBER(SEARCH("CDS",E35)),"CDS",IF(ISNUMBER(SEARCH("TOGAF",E35)),"TOGAF",IF(ISNUMBER(SEARCH("DPI",E35)),"DPI",IF(ISNUMBER(SEARCH("DITS",E35)),"DITS",IF(ISNUMBER(SEARCH("AGILE",E35)),"AGILE",IF(ISNUMBER(SEARCH("Ciberseguridad",E35)),"Ciberseguridad","Otros"))))))))))))))</f>
        <v/>
      </c>
      <c r="Q35" s="44" t="str">
        <f aca="false">IF(B35="","",IF(ISNUMBER(K35),IF(K35&lt;=3,"1-3 meses",IF(K35&lt;=6,"4-6 meses","+6 meses")),"Sin dato registrado"))</f>
        <v/>
      </c>
      <c r="R35" s="44" t="str">
        <f aca="false">IF(OR(B35="",M35=""),"",RANK(M35,$M$3:$M$306)+COUNTIF($M$3:M35,M35)-1)</f>
        <v/>
      </c>
    </row>
    <row r="36" customFormat="false" ht="15" hidden="true" customHeight="true" outlineLevel="0" collapsed="false">
      <c r="A36" s="49" t="n">
        <v>22</v>
      </c>
      <c r="C36" s="54"/>
      <c r="M36" s="44" t="str">
        <f aca="false">IF(B36="","",IF(ISNUMBER(I36),I36,IFERROR(VALUE(SUBSTITUTE(SUBSTITUTE(I36,"$",""),".","")),0)))</f>
        <v/>
      </c>
      <c r="N36" s="44" t="str">
        <f aca="false">IF(B36="","",PROPER(TRIM(D36)))</f>
        <v/>
      </c>
      <c r="O36" s="44" t="str">
        <f aca="false">IF(B36="","",IF(OR(ISNUMBER(SEARCH("AL DIA",L36)),ISNUMBER(SEARCH("AL DIA",F36))),"Al día",IF(OR(ISNUMBER(SEARCH("QUIETO",L36)),ISNUMBER(SEARCH("QUIETO",F36)),ISNUMBER(SEARCH("ESPERANDO",L36)),ISNUMBER(SEARCH("ESPERANDO",F36))),"Sin respuesta / Inactivo",IF(OR(ISNUMBER(SEARCH("PENDIENTE",L36)),ISNUMBER(SEARCH("PENDIENTE",F36)),ISNUMBER(SEARCH("COMPROMISO",F36)),ISNUMBER(SEARCH("COMPROMISO",L36)),ISNUMBER(SEARCH("PROCESO",F36)),ISNUMBER(SEARCH("LLAMAR",F36)),ISNUMBER(SEARCH("ABONO",J36)),EXACT(L36,"P"),EXACT(F36,"P")),"Pendiente / Compromiso","Sin gestionar"))))</f>
        <v/>
      </c>
      <c r="P36" s="44" t="str">
        <f aca="false">IF(B36="","",IF(E36="","Sin definir",IF(ISNUMBER(SEARCH("ITIL",E36)),"ITIL",IF(ISNUMBER(SEARCH("ISO 27001",E36)),"ISO 27001",IF(ISNUMBER(SEARCH("ISO 42001",E36)),"ISO 42001",IF(ISNUMBER(SEARCH("ISO",E36)),"Otras ISO",IF(ISNUMBER(SEARCH("SCRUM",E36)),"SCRUM",IF(ISNUMBER(SEARCH("BRIDGE",E36)),"BRIDGE",IF(ISNUMBER(SEARCH("CDS",E36)),"CDS",IF(ISNUMBER(SEARCH("TOGAF",E36)),"TOGAF",IF(ISNUMBER(SEARCH("DPI",E36)),"DPI",IF(ISNUMBER(SEARCH("DITS",E36)),"DITS",IF(ISNUMBER(SEARCH("AGILE",E36)),"AGILE",IF(ISNUMBER(SEARCH("Ciberseguridad",E36)),"Ciberseguridad","Otros"))))))))))))))</f>
        <v/>
      </c>
      <c r="Q36" s="44" t="str">
        <f aca="false">IF(B36="","",IF(ISNUMBER(K36),IF(K36&lt;=3,"1-3 meses",IF(K36&lt;=6,"4-6 meses","+6 meses")),"Sin dato registrado"))</f>
        <v/>
      </c>
      <c r="R36" s="44" t="str">
        <f aca="false">IF(OR(B36="",M36=""),"",RANK(M36,$M$3:$M$306)+COUNTIF($M$3:M36,M36)-1)</f>
        <v/>
      </c>
    </row>
    <row r="37" customFormat="false" ht="15" hidden="true" customHeight="true" outlineLevel="0" collapsed="false">
      <c r="A37" s="50" t="n">
        <v>22</v>
      </c>
      <c r="C37" s="54"/>
      <c r="M37" s="44" t="str">
        <f aca="false">IF(B37="","",IF(ISNUMBER(I37),I37,IFERROR(VALUE(SUBSTITUTE(SUBSTITUTE(I37,"$",""),".","")),0)))</f>
        <v/>
      </c>
      <c r="N37" s="44" t="str">
        <f aca="false">IF(B37="","",PROPER(TRIM(D37)))</f>
        <v/>
      </c>
      <c r="O37" s="44" t="str">
        <f aca="false">IF(B37="","",IF(OR(ISNUMBER(SEARCH("AL DIA",L37)),ISNUMBER(SEARCH("AL DIA",F37))),"Al día",IF(OR(ISNUMBER(SEARCH("QUIETO",L37)),ISNUMBER(SEARCH("QUIETO",F37)),ISNUMBER(SEARCH("ESPERANDO",L37)),ISNUMBER(SEARCH("ESPERANDO",F37))),"Sin respuesta / Inactivo",IF(OR(ISNUMBER(SEARCH("PENDIENTE",L37)),ISNUMBER(SEARCH("PENDIENTE",F37)),ISNUMBER(SEARCH("COMPROMISO",F37)),ISNUMBER(SEARCH("COMPROMISO",L37)),ISNUMBER(SEARCH("PROCESO",F37)),ISNUMBER(SEARCH("LLAMAR",F37)),ISNUMBER(SEARCH("ABONO",J37)),EXACT(L37,"P"),EXACT(F37,"P")),"Pendiente / Compromiso","Sin gestionar"))))</f>
        <v/>
      </c>
      <c r="P37" s="44" t="str">
        <f aca="false">IF(B37="","",IF(E37="","Sin definir",IF(ISNUMBER(SEARCH("ITIL",E37)),"ITIL",IF(ISNUMBER(SEARCH("ISO 27001",E37)),"ISO 27001",IF(ISNUMBER(SEARCH("ISO 42001",E37)),"ISO 42001",IF(ISNUMBER(SEARCH("ISO",E37)),"Otras ISO",IF(ISNUMBER(SEARCH("SCRUM",E37)),"SCRUM",IF(ISNUMBER(SEARCH("BRIDGE",E37)),"BRIDGE",IF(ISNUMBER(SEARCH("CDS",E37)),"CDS",IF(ISNUMBER(SEARCH("TOGAF",E37)),"TOGAF",IF(ISNUMBER(SEARCH("DPI",E37)),"DPI",IF(ISNUMBER(SEARCH("DITS",E37)),"DITS",IF(ISNUMBER(SEARCH("AGILE",E37)),"AGILE",IF(ISNUMBER(SEARCH("Ciberseguridad",E37)),"Ciberseguridad","Otros"))))))))))))))</f>
        <v/>
      </c>
      <c r="Q37" s="44" t="str">
        <f aca="false">IF(B37="","",IF(ISNUMBER(K37),IF(K37&lt;=3,"1-3 meses",IF(K37&lt;=6,"4-6 meses","+6 meses")),"Sin dato registrado"))</f>
        <v/>
      </c>
      <c r="R37" s="44" t="str">
        <f aca="false">IF(OR(B37="",M37=""),"",RANK(M37,$M$3:$M$306)+COUNTIF($M$3:M37,M37)-1)</f>
        <v/>
      </c>
    </row>
    <row r="38" customFormat="false" ht="15" hidden="true" customHeight="true" outlineLevel="0" collapsed="false">
      <c r="A38" s="49" t="n">
        <v>22</v>
      </c>
      <c r="C38" s="54"/>
      <c r="M38" s="44" t="str">
        <f aca="false">IF(B38="","",IF(ISNUMBER(I38),I38,IFERROR(VALUE(SUBSTITUTE(SUBSTITUTE(I38,"$",""),".","")),0)))</f>
        <v/>
      </c>
      <c r="N38" s="44" t="str">
        <f aca="false">IF(B38="","",PROPER(TRIM(D38)))</f>
        <v/>
      </c>
      <c r="O38" s="44" t="str">
        <f aca="false">IF(B38="","",IF(OR(ISNUMBER(SEARCH("AL DIA",L38)),ISNUMBER(SEARCH("AL DIA",F38))),"Al día",IF(OR(ISNUMBER(SEARCH("QUIETO",L38)),ISNUMBER(SEARCH("QUIETO",F38)),ISNUMBER(SEARCH("ESPERANDO",L38)),ISNUMBER(SEARCH("ESPERANDO",F38))),"Sin respuesta / Inactivo",IF(OR(ISNUMBER(SEARCH("PENDIENTE",L38)),ISNUMBER(SEARCH("PENDIENTE",F38)),ISNUMBER(SEARCH("COMPROMISO",F38)),ISNUMBER(SEARCH("COMPROMISO",L38)),ISNUMBER(SEARCH("PROCESO",F38)),ISNUMBER(SEARCH("LLAMAR",F38)),ISNUMBER(SEARCH("ABONO",J38)),EXACT(L38,"P"),EXACT(F38,"P")),"Pendiente / Compromiso","Sin gestionar"))))</f>
        <v/>
      </c>
      <c r="P38" s="44" t="str">
        <f aca="false">IF(B38="","",IF(E38="","Sin definir",IF(ISNUMBER(SEARCH("ITIL",E38)),"ITIL",IF(ISNUMBER(SEARCH("ISO 27001",E38)),"ISO 27001",IF(ISNUMBER(SEARCH("ISO 42001",E38)),"ISO 42001",IF(ISNUMBER(SEARCH("ISO",E38)),"Otras ISO",IF(ISNUMBER(SEARCH("SCRUM",E38)),"SCRUM",IF(ISNUMBER(SEARCH("BRIDGE",E38)),"BRIDGE",IF(ISNUMBER(SEARCH("CDS",E38)),"CDS",IF(ISNUMBER(SEARCH("TOGAF",E38)),"TOGAF",IF(ISNUMBER(SEARCH("DPI",E38)),"DPI",IF(ISNUMBER(SEARCH("DITS",E38)),"DITS",IF(ISNUMBER(SEARCH("AGILE",E38)),"AGILE",IF(ISNUMBER(SEARCH("Ciberseguridad",E38)),"Ciberseguridad","Otros"))))))))))))))</f>
        <v/>
      </c>
      <c r="Q38" s="44" t="str">
        <f aca="false">IF(B38="","",IF(ISNUMBER(K38),IF(K38&lt;=3,"1-3 meses",IF(K38&lt;=6,"4-6 meses","+6 meses")),"Sin dato registrado"))</f>
        <v/>
      </c>
      <c r="R38" s="44" t="str">
        <f aca="false">IF(OR(B38="",M38=""),"",RANK(M38,$M$3:$M$306)+COUNTIF($M$3:M38,M38)-1)</f>
        <v/>
      </c>
    </row>
    <row r="39" customFormat="false" ht="15" hidden="true" customHeight="true" outlineLevel="0" collapsed="false">
      <c r="A39" s="50" t="n">
        <v>22</v>
      </c>
      <c r="C39" s="54"/>
      <c r="M39" s="44" t="str">
        <f aca="false">IF(B39="","",IF(ISNUMBER(I39),I39,IFERROR(VALUE(SUBSTITUTE(SUBSTITUTE(I39,"$",""),".","")),0)))</f>
        <v/>
      </c>
      <c r="N39" s="44" t="str">
        <f aca="false">IF(B39="","",PROPER(TRIM(D39)))</f>
        <v/>
      </c>
      <c r="O39" s="44" t="str">
        <f aca="false">IF(B39="","",IF(OR(ISNUMBER(SEARCH("AL DIA",L39)),ISNUMBER(SEARCH("AL DIA",F39))),"Al día",IF(OR(ISNUMBER(SEARCH("QUIETO",L39)),ISNUMBER(SEARCH("QUIETO",F39)),ISNUMBER(SEARCH("ESPERANDO",L39)),ISNUMBER(SEARCH("ESPERANDO",F39))),"Sin respuesta / Inactivo",IF(OR(ISNUMBER(SEARCH("PENDIENTE",L39)),ISNUMBER(SEARCH("PENDIENTE",F39)),ISNUMBER(SEARCH("COMPROMISO",F39)),ISNUMBER(SEARCH("COMPROMISO",L39)),ISNUMBER(SEARCH("PROCESO",F39)),ISNUMBER(SEARCH("LLAMAR",F39)),ISNUMBER(SEARCH("ABONO",J39)),EXACT(L39,"P"),EXACT(F39,"P")),"Pendiente / Compromiso","Sin gestionar"))))</f>
        <v/>
      </c>
      <c r="P39" s="44" t="str">
        <f aca="false">IF(B39="","",IF(E39="","Sin definir",IF(ISNUMBER(SEARCH("ITIL",E39)),"ITIL",IF(ISNUMBER(SEARCH("ISO 27001",E39)),"ISO 27001",IF(ISNUMBER(SEARCH("ISO 42001",E39)),"ISO 42001",IF(ISNUMBER(SEARCH("ISO",E39)),"Otras ISO",IF(ISNUMBER(SEARCH("SCRUM",E39)),"SCRUM",IF(ISNUMBER(SEARCH("BRIDGE",E39)),"BRIDGE",IF(ISNUMBER(SEARCH("CDS",E39)),"CDS",IF(ISNUMBER(SEARCH("TOGAF",E39)),"TOGAF",IF(ISNUMBER(SEARCH("DPI",E39)),"DPI",IF(ISNUMBER(SEARCH("DITS",E39)),"DITS",IF(ISNUMBER(SEARCH("AGILE",E39)),"AGILE",IF(ISNUMBER(SEARCH("Ciberseguridad",E39)),"Ciberseguridad","Otros"))))))))))))))</f>
        <v/>
      </c>
      <c r="Q39" s="44" t="str">
        <f aca="false">IF(B39="","",IF(ISNUMBER(K39),IF(K39&lt;=3,"1-3 meses",IF(K39&lt;=6,"4-6 meses","+6 meses")),"Sin dato registrado"))</f>
        <v/>
      </c>
      <c r="R39" s="44" t="str">
        <f aca="false">IF(OR(B39="",M39=""),"",RANK(M39,$M$3:$M$306)+COUNTIF($M$3:M39,M39)-1)</f>
        <v/>
      </c>
    </row>
    <row r="40" customFormat="false" ht="15" hidden="true" customHeight="true" outlineLevel="0" collapsed="false">
      <c r="A40" s="49" t="n">
        <v>22</v>
      </c>
      <c r="C40" s="54"/>
      <c r="M40" s="44" t="str">
        <f aca="false">IF(B40="","",IF(ISNUMBER(I40),I40,IFERROR(VALUE(SUBSTITUTE(SUBSTITUTE(I40,"$",""),".","")),0)))</f>
        <v/>
      </c>
      <c r="N40" s="44" t="str">
        <f aca="false">IF(B40="","",PROPER(TRIM(D40)))</f>
        <v/>
      </c>
      <c r="O40" s="44" t="str">
        <f aca="false">IF(B40="","",IF(OR(ISNUMBER(SEARCH("AL DIA",L40)),ISNUMBER(SEARCH("AL DIA",F40))),"Al día",IF(OR(ISNUMBER(SEARCH("QUIETO",L40)),ISNUMBER(SEARCH("QUIETO",F40)),ISNUMBER(SEARCH("ESPERANDO",L40)),ISNUMBER(SEARCH("ESPERANDO",F40))),"Sin respuesta / Inactivo",IF(OR(ISNUMBER(SEARCH("PENDIENTE",L40)),ISNUMBER(SEARCH("PENDIENTE",F40)),ISNUMBER(SEARCH("COMPROMISO",F40)),ISNUMBER(SEARCH("COMPROMISO",L40)),ISNUMBER(SEARCH("PROCESO",F40)),ISNUMBER(SEARCH("LLAMAR",F40)),ISNUMBER(SEARCH("ABONO",J40)),EXACT(L40,"P"),EXACT(F40,"P")),"Pendiente / Compromiso","Sin gestionar"))))</f>
        <v/>
      </c>
      <c r="P40" s="44" t="str">
        <f aca="false">IF(B40="","",IF(E40="","Sin definir",IF(ISNUMBER(SEARCH("ITIL",E40)),"ITIL",IF(ISNUMBER(SEARCH("ISO 27001",E40)),"ISO 27001",IF(ISNUMBER(SEARCH("ISO 42001",E40)),"ISO 42001",IF(ISNUMBER(SEARCH("ISO",E40)),"Otras ISO",IF(ISNUMBER(SEARCH("SCRUM",E40)),"SCRUM",IF(ISNUMBER(SEARCH("BRIDGE",E40)),"BRIDGE",IF(ISNUMBER(SEARCH("CDS",E40)),"CDS",IF(ISNUMBER(SEARCH("TOGAF",E40)),"TOGAF",IF(ISNUMBER(SEARCH("DPI",E40)),"DPI",IF(ISNUMBER(SEARCH("DITS",E40)),"DITS",IF(ISNUMBER(SEARCH("AGILE",E40)),"AGILE",IF(ISNUMBER(SEARCH("Ciberseguridad",E40)),"Ciberseguridad","Otros"))))))))))))))</f>
        <v/>
      </c>
      <c r="Q40" s="44" t="str">
        <f aca="false">IF(B40="","",IF(ISNUMBER(K40),IF(K40&lt;=3,"1-3 meses",IF(K40&lt;=6,"4-6 meses","+6 meses")),"Sin dato registrado"))</f>
        <v/>
      </c>
      <c r="R40" s="44" t="str">
        <f aca="false">IF(OR(B40="",M40=""),"",RANK(M40,$M$3:$M$306)+COUNTIF($M$3:M40,M40)-1)</f>
        <v/>
      </c>
    </row>
    <row r="41" customFormat="false" ht="15" hidden="true" customHeight="true" outlineLevel="0" collapsed="false">
      <c r="A41" s="50" t="n">
        <v>22</v>
      </c>
      <c r="C41" s="54"/>
      <c r="M41" s="44" t="str">
        <f aca="false">IF(B41="","",IF(ISNUMBER(I41),I41,IFERROR(VALUE(SUBSTITUTE(SUBSTITUTE(I41,"$",""),".","")),0)))</f>
        <v/>
      </c>
      <c r="N41" s="44" t="str">
        <f aca="false">IF(B41="","",PROPER(TRIM(D41)))</f>
        <v/>
      </c>
      <c r="O41" s="44" t="str">
        <f aca="false">IF(B41="","",IF(OR(ISNUMBER(SEARCH("AL DIA",L41)),ISNUMBER(SEARCH("AL DIA",F41))),"Al día",IF(OR(ISNUMBER(SEARCH("QUIETO",L41)),ISNUMBER(SEARCH("QUIETO",F41)),ISNUMBER(SEARCH("ESPERANDO",L41)),ISNUMBER(SEARCH("ESPERANDO",F41))),"Sin respuesta / Inactivo",IF(OR(ISNUMBER(SEARCH("PENDIENTE",L41)),ISNUMBER(SEARCH("PENDIENTE",F41)),ISNUMBER(SEARCH("COMPROMISO",F41)),ISNUMBER(SEARCH("COMPROMISO",L41)),ISNUMBER(SEARCH("PROCESO",F41)),ISNUMBER(SEARCH("LLAMAR",F41)),ISNUMBER(SEARCH("ABONO",J41)),EXACT(L41,"P"),EXACT(F41,"P")),"Pendiente / Compromiso","Sin gestionar"))))</f>
        <v/>
      </c>
      <c r="P41" s="44" t="str">
        <f aca="false">IF(B41="","",IF(E41="","Sin definir",IF(ISNUMBER(SEARCH("ITIL",E41)),"ITIL",IF(ISNUMBER(SEARCH("ISO 27001",E41)),"ISO 27001",IF(ISNUMBER(SEARCH("ISO 42001",E41)),"ISO 42001",IF(ISNUMBER(SEARCH("ISO",E41)),"Otras ISO",IF(ISNUMBER(SEARCH("SCRUM",E41)),"SCRUM",IF(ISNUMBER(SEARCH("BRIDGE",E41)),"BRIDGE",IF(ISNUMBER(SEARCH("CDS",E41)),"CDS",IF(ISNUMBER(SEARCH("TOGAF",E41)),"TOGAF",IF(ISNUMBER(SEARCH("DPI",E41)),"DPI",IF(ISNUMBER(SEARCH("DITS",E41)),"DITS",IF(ISNUMBER(SEARCH("AGILE",E41)),"AGILE",IF(ISNUMBER(SEARCH("Ciberseguridad",E41)),"Ciberseguridad","Otros"))))))))))))))</f>
        <v/>
      </c>
      <c r="Q41" s="44" t="str">
        <f aca="false">IF(B41="","",IF(ISNUMBER(K41),IF(K41&lt;=3,"1-3 meses",IF(K41&lt;=6,"4-6 meses","+6 meses")),"Sin dato registrado"))</f>
        <v/>
      </c>
      <c r="R41" s="44" t="str">
        <f aca="false">IF(OR(B41="",M41=""),"",RANK(M41,$M$3:$M$306)+COUNTIF($M$3:M41,M41)-1)</f>
        <v/>
      </c>
    </row>
    <row r="42" customFormat="false" ht="15" hidden="true" customHeight="true" outlineLevel="0" collapsed="false">
      <c r="A42" s="49" t="n">
        <v>22</v>
      </c>
      <c r="C42" s="54"/>
      <c r="M42" s="44" t="str">
        <f aca="false">IF(B42="","",IF(ISNUMBER(I42),I42,IFERROR(VALUE(SUBSTITUTE(SUBSTITUTE(I42,"$",""),".","")),0)))</f>
        <v/>
      </c>
      <c r="N42" s="44" t="str">
        <f aca="false">IF(B42="","",PROPER(TRIM(D42)))</f>
        <v/>
      </c>
      <c r="O42" s="44" t="str">
        <f aca="false">IF(B42="","",IF(OR(ISNUMBER(SEARCH("AL DIA",L42)),ISNUMBER(SEARCH("AL DIA",F42))),"Al día",IF(OR(ISNUMBER(SEARCH("QUIETO",L42)),ISNUMBER(SEARCH("QUIETO",F42)),ISNUMBER(SEARCH("ESPERANDO",L42)),ISNUMBER(SEARCH("ESPERANDO",F42))),"Sin respuesta / Inactivo",IF(OR(ISNUMBER(SEARCH("PENDIENTE",L42)),ISNUMBER(SEARCH("PENDIENTE",F42)),ISNUMBER(SEARCH("COMPROMISO",F42)),ISNUMBER(SEARCH("COMPROMISO",L42)),ISNUMBER(SEARCH("PROCESO",F42)),ISNUMBER(SEARCH("LLAMAR",F42)),ISNUMBER(SEARCH("ABONO",J42)),EXACT(L42,"P"),EXACT(F42,"P")),"Pendiente / Compromiso","Sin gestionar"))))</f>
        <v/>
      </c>
      <c r="P42" s="44" t="str">
        <f aca="false">IF(B42="","",IF(E42="","Sin definir",IF(ISNUMBER(SEARCH("ITIL",E42)),"ITIL",IF(ISNUMBER(SEARCH("ISO 27001",E42)),"ISO 27001",IF(ISNUMBER(SEARCH("ISO 42001",E42)),"ISO 42001",IF(ISNUMBER(SEARCH("ISO",E42)),"Otras ISO",IF(ISNUMBER(SEARCH("SCRUM",E42)),"SCRUM",IF(ISNUMBER(SEARCH("BRIDGE",E42)),"BRIDGE",IF(ISNUMBER(SEARCH("CDS",E42)),"CDS",IF(ISNUMBER(SEARCH("TOGAF",E42)),"TOGAF",IF(ISNUMBER(SEARCH("DPI",E42)),"DPI",IF(ISNUMBER(SEARCH("DITS",E42)),"DITS",IF(ISNUMBER(SEARCH("AGILE",E42)),"AGILE",IF(ISNUMBER(SEARCH("Ciberseguridad",E42)),"Ciberseguridad","Otros"))))))))))))))</f>
        <v/>
      </c>
      <c r="Q42" s="44" t="str">
        <f aca="false">IF(B42="","",IF(ISNUMBER(K42),IF(K42&lt;=3,"1-3 meses",IF(K42&lt;=6,"4-6 meses","+6 meses")),"Sin dato registrado"))</f>
        <v/>
      </c>
      <c r="R42" s="44" t="str">
        <f aca="false">IF(OR(B42="",M42=""),"",RANK(M42,$M$3:$M$306)+COUNTIF($M$3:M42,M42)-1)</f>
        <v/>
      </c>
    </row>
    <row r="43" customFormat="false" ht="15" hidden="true" customHeight="true" outlineLevel="0" collapsed="false">
      <c r="A43" s="50" t="n">
        <v>22</v>
      </c>
      <c r="C43" s="54"/>
      <c r="M43" s="44" t="str">
        <f aca="false">IF(B43="","",IF(ISNUMBER(I43),I43,IFERROR(VALUE(SUBSTITUTE(SUBSTITUTE(I43,"$",""),".","")),0)))</f>
        <v/>
      </c>
      <c r="N43" s="44" t="str">
        <f aca="false">IF(B43="","",PROPER(TRIM(D43)))</f>
        <v/>
      </c>
      <c r="O43" s="44" t="str">
        <f aca="false">IF(B43="","",IF(OR(ISNUMBER(SEARCH("AL DIA",L43)),ISNUMBER(SEARCH("AL DIA",F43))),"Al día",IF(OR(ISNUMBER(SEARCH("QUIETO",L43)),ISNUMBER(SEARCH("QUIETO",F43)),ISNUMBER(SEARCH("ESPERANDO",L43)),ISNUMBER(SEARCH("ESPERANDO",F43))),"Sin respuesta / Inactivo",IF(OR(ISNUMBER(SEARCH("PENDIENTE",L43)),ISNUMBER(SEARCH("PENDIENTE",F43)),ISNUMBER(SEARCH("COMPROMISO",F43)),ISNUMBER(SEARCH("COMPROMISO",L43)),ISNUMBER(SEARCH("PROCESO",F43)),ISNUMBER(SEARCH("LLAMAR",F43)),ISNUMBER(SEARCH("ABONO",J43)),EXACT(L43,"P"),EXACT(F43,"P")),"Pendiente / Compromiso","Sin gestionar"))))</f>
        <v/>
      </c>
      <c r="P43" s="44" t="str">
        <f aca="false">IF(B43="","",IF(E43="","Sin definir",IF(ISNUMBER(SEARCH("ITIL",E43)),"ITIL",IF(ISNUMBER(SEARCH("ISO 27001",E43)),"ISO 27001",IF(ISNUMBER(SEARCH("ISO 42001",E43)),"ISO 42001",IF(ISNUMBER(SEARCH("ISO",E43)),"Otras ISO",IF(ISNUMBER(SEARCH("SCRUM",E43)),"SCRUM",IF(ISNUMBER(SEARCH("BRIDGE",E43)),"BRIDGE",IF(ISNUMBER(SEARCH("CDS",E43)),"CDS",IF(ISNUMBER(SEARCH("TOGAF",E43)),"TOGAF",IF(ISNUMBER(SEARCH("DPI",E43)),"DPI",IF(ISNUMBER(SEARCH("DITS",E43)),"DITS",IF(ISNUMBER(SEARCH("AGILE",E43)),"AGILE",IF(ISNUMBER(SEARCH("Ciberseguridad",E43)),"Ciberseguridad","Otros"))))))))))))))</f>
        <v/>
      </c>
      <c r="Q43" s="44" t="str">
        <f aca="false">IF(B43="","",IF(ISNUMBER(K43),IF(K43&lt;=3,"1-3 meses",IF(K43&lt;=6,"4-6 meses","+6 meses")),"Sin dato registrado"))</f>
        <v/>
      </c>
      <c r="R43" s="44" t="str">
        <f aca="false">IF(OR(B43="",M43=""),"",RANK(M43,$M$3:$M$306)+COUNTIF($M$3:M43,M43)-1)</f>
        <v/>
      </c>
    </row>
    <row r="44" customFormat="false" ht="15" hidden="true" customHeight="true" outlineLevel="0" collapsed="false">
      <c r="A44" s="49" t="n">
        <v>22</v>
      </c>
      <c r="C44" s="54"/>
      <c r="M44" s="44" t="str">
        <f aca="false">IF(B44="","",IF(ISNUMBER(I44),I44,IFERROR(VALUE(SUBSTITUTE(SUBSTITUTE(I44,"$",""),".","")),0)))</f>
        <v/>
      </c>
      <c r="N44" s="44" t="str">
        <f aca="false">IF(B44="","",PROPER(TRIM(D44)))</f>
        <v/>
      </c>
      <c r="O44" s="44" t="str">
        <f aca="false">IF(B44="","",IF(OR(ISNUMBER(SEARCH("AL DIA",L44)),ISNUMBER(SEARCH("AL DIA",F44))),"Al día",IF(OR(ISNUMBER(SEARCH("QUIETO",L44)),ISNUMBER(SEARCH("QUIETO",F44)),ISNUMBER(SEARCH("ESPERANDO",L44)),ISNUMBER(SEARCH("ESPERANDO",F44))),"Sin respuesta / Inactivo",IF(OR(ISNUMBER(SEARCH("PENDIENTE",L44)),ISNUMBER(SEARCH("PENDIENTE",F44)),ISNUMBER(SEARCH("COMPROMISO",F44)),ISNUMBER(SEARCH("COMPROMISO",L44)),ISNUMBER(SEARCH("PROCESO",F44)),ISNUMBER(SEARCH("LLAMAR",F44)),ISNUMBER(SEARCH("ABONO",J44)),EXACT(L44,"P"),EXACT(F44,"P")),"Pendiente / Compromiso","Sin gestionar"))))</f>
        <v/>
      </c>
      <c r="P44" s="44" t="str">
        <f aca="false">IF(B44="","",IF(E44="","Sin definir",IF(ISNUMBER(SEARCH("ITIL",E44)),"ITIL",IF(ISNUMBER(SEARCH("ISO 27001",E44)),"ISO 27001",IF(ISNUMBER(SEARCH("ISO 42001",E44)),"ISO 42001",IF(ISNUMBER(SEARCH("ISO",E44)),"Otras ISO",IF(ISNUMBER(SEARCH("SCRUM",E44)),"SCRUM",IF(ISNUMBER(SEARCH("BRIDGE",E44)),"BRIDGE",IF(ISNUMBER(SEARCH("CDS",E44)),"CDS",IF(ISNUMBER(SEARCH("TOGAF",E44)),"TOGAF",IF(ISNUMBER(SEARCH("DPI",E44)),"DPI",IF(ISNUMBER(SEARCH("DITS",E44)),"DITS",IF(ISNUMBER(SEARCH("AGILE",E44)),"AGILE",IF(ISNUMBER(SEARCH("Ciberseguridad",E44)),"Ciberseguridad","Otros"))))))))))))))</f>
        <v/>
      </c>
      <c r="Q44" s="44" t="str">
        <f aca="false">IF(B44="","",IF(ISNUMBER(K44),IF(K44&lt;=3,"1-3 meses",IF(K44&lt;=6,"4-6 meses","+6 meses")),"Sin dato registrado"))</f>
        <v/>
      </c>
      <c r="R44" s="44" t="str">
        <f aca="false">IF(OR(B44="",M44=""),"",RANK(M44,$M$3:$M$306)+COUNTIF($M$3:M44,M44)-1)</f>
        <v/>
      </c>
    </row>
    <row r="45" customFormat="false" ht="15" hidden="true" customHeight="true" outlineLevel="0" collapsed="false">
      <c r="A45" s="50" t="n">
        <v>22</v>
      </c>
      <c r="C45" s="54"/>
      <c r="M45" s="44" t="str">
        <f aca="false">IF(B45="","",IF(ISNUMBER(I45),I45,IFERROR(VALUE(SUBSTITUTE(SUBSTITUTE(I45,"$",""),".","")),0)))</f>
        <v/>
      </c>
      <c r="N45" s="44" t="str">
        <f aca="false">IF(B45="","",PROPER(TRIM(D45)))</f>
        <v/>
      </c>
      <c r="O45" s="44" t="str">
        <f aca="false">IF(B45="","",IF(OR(ISNUMBER(SEARCH("AL DIA",L45)),ISNUMBER(SEARCH("AL DIA",F45))),"Al día",IF(OR(ISNUMBER(SEARCH("QUIETO",L45)),ISNUMBER(SEARCH("QUIETO",F45)),ISNUMBER(SEARCH("ESPERANDO",L45)),ISNUMBER(SEARCH("ESPERANDO",F45))),"Sin respuesta / Inactivo",IF(OR(ISNUMBER(SEARCH("PENDIENTE",L45)),ISNUMBER(SEARCH("PENDIENTE",F45)),ISNUMBER(SEARCH("COMPROMISO",F45)),ISNUMBER(SEARCH("COMPROMISO",L45)),ISNUMBER(SEARCH("PROCESO",F45)),ISNUMBER(SEARCH("LLAMAR",F45)),ISNUMBER(SEARCH("ABONO",J45)),EXACT(L45,"P"),EXACT(F45,"P")),"Pendiente / Compromiso","Sin gestionar"))))</f>
        <v/>
      </c>
      <c r="P45" s="44" t="str">
        <f aca="false">IF(B45="","",IF(E45="","Sin definir",IF(ISNUMBER(SEARCH("ITIL",E45)),"ITIL",IF(ISNUMBER(SEARCH("ISO 27001",E45)),"ISO 27001",IF(ISNUMBER(SEARCH("ISO 42001",E45)),"ISO 42001",IF(ISNUMBER(SEARCH("ISO",E45)),"Otras ISO",IF(ISNUMBER(SEARCH("SCRUM",E45)),"SCRUM",IF(ISNUMBER(SEARCH("BRIDGE",E45)),"BRIDGE",IF(ISNUMBER(SEARCH("CDS",E45)),"CDS",IF(ISNUMBER(SEARCH("TOGAF",E45)),"TOGAF",IF(ISNUMBER(SEARCH("DPI",E45)),"DPI",IF(ISNUMBER(SEARCH("DITS",E45)),"DITS",IF(ISNUMBER(SEARCH("AGILE",E45)),"AGILE",IF(ISNUMBER(SEARCH("Ciberseguridad",E45)),"Ciberseguridad","Otros"))))))))))))))</f>
        <v/>
      </c>
      <c r="Q45" s="44" t="str">
        <f aca="false">IF(B45="","",IF(ISNUMBER(K45),IF(K45&lt;=3,"1-3 meses",IF(K45&lt;=6,"4-6 meses","+6 meses")),"Sin dato registrado"))</f>
        <v/>
      </c>
      <c r="R45" s="44" t="str">
        <f aca="false">IF(OR(B45="",M45=""),"",RANK(M45,$M$3:$M$306)+COUNTIF($M$3:M45,M45)-1)</f>
        <v/>
      </c>
    </row>
    <row r="46" customFormat="false" ht="15" hidden="true" customHeight="true" outlineLevel="0" collapsed="false">
      <c r="A46" s="49" t="n">
        <v>22</v>
      </c>
      <c r="C46" s="54"/>
      <c r="M46" s="44" t="str">
        <f aca="false">IF(B46="","",IF(ISNUMBER(I46),I46,IFERROR(VALUE(SUBSTITUTE(SUBSTITUTE(I46,"$",""),".","")),0)))</f>
        <v/>
      </c>
      <c r="N46" s="44" t="str">
        <f aca="false">IF(B46="","",PROPER(TRIM(D46)))</f>
        <v/>
      </c>
      <c r="O46" s="44" t="str">
        <f aca="false">IF(B46="","",IF(OR(ISNUMBER(SEARCH("AL DIA",L46)),ISNUMBER(SEARCH("AL DIA",F46))),"Al día",IF(OR(ISNUMBER(SEARCH("QUIETO",L46)),ISNUMBER(SEARCH("QUIETO",F46)),ISNUMBER(SEARCH("ESPERANDO",L46)),ISNUMBER(SEARCH("ESPERANDO",F46))),"Sin respuesta / Inactivo",IF(OR(ISNUMBER(SEARCH("PENDIENTE",L46)),ISNUMBER(SEARCH("PENDIENTE",F46)),ISNUMBER(SEARCH("COMPROMISO",F46)),ISNUMBER(SEARCH("COMPROMISO",L46)),ISNUMBER(SEARCH("PROCESO",F46)),ISNUMBER(SEARCH("LLAMAR",F46)),ISNUMBER(SEARCH("ABONO",J46)),EXACT(L46,"P"),EXACT(F46,"P")),"Pendiente / Compromiso","Sin gestionar"))))</f>
        <v/>
      </c>
      <c r="P46" s="44" t="str">
        <f aca="false">IF(B46="","",IF(E46="","Sin definir",IF(ISNUMBER(SEARCH("ITIL",E46)),"ITIL",IF(ISNUMBER(SEARCH("ISO 27001",E46)),"ISO 27001",IF(ISNUMBER(SEARCH("ISO 42001",E46)),"ISO 42001",IF(ISNUMBER(SEARCH("ISO",E46)),"Otras ISO",IF(ISNUMBER(SEARCH("SCRUM",E46)),"SCRUM",IF(ISNUMBER(SEARCH("BRIDGE",E46)),"BRIDGE",IF(ISNUMBER(SEARCH("CDS",E46)),"CDS",IF(ISNUMBER(SEARCH("TOGAF",E46)),"TOGAF",IF(ISNUMBER(SEARCH("DPI",E46)),"DPI",IF(ISNUMBER(SEARCH("DITS",E46)),"DITS",IF(ISNUMBER(SEARCH("AGILE",E46)),"AGILE",IF(ISNUMBER(SEARCH("Ciberseguridad",E46)),"Ciberseguridad","Otros"))))))))))))))</f>
        <v/>
      </c>
      <c r="Q46" s="44" t="str">
        <f aca="false">IF(B46="","",IF(ISNUMBER(K46),IF(K46&lt;=3,"1-3 meses",IF(K46&lt;=6,"4-6 meses","+6 meses")),"Sin dato registrado"))</f>
        <v/>
      </c>
      <c r="R46" s="44" t="str">
        <f aca="false">IF(OR(B46="",M46=""),"",RANK(M46,$M$3:$M$306)+COUNTIF($M$3:M46,M46)-1)</f>
        <v/>
      </c>
    </row>
    <row r="47" customFormat="false" ht="15" hidden="true" customHeight="true" outlineLevel="0" collapsed="false">
      <c r="A47" s="50" t="n">
        <v>22</v>
      </c>
      <c r="C47" s="54"/>
      <c r="M47" s="44" t="str">
        <f aca="false">IF(B47="","",IF(ISNUMBER(I47),I47,IFERROR(VALUE(SUBSTITUTE(SUBSTITUTE(I47,"$",""),".","")),0)))</f>
        <v/>
      </c>
      <c r="N47" s="44" t="str">
        <f aca="false">IF(B47="","",PROPER(TRIM(D47)))</f>
        <v/>
      </c>
      <c r="O47" s="44" t="str">
        <f aca="false">IF(B47="","",IF(OR(ISNUMBER(SEARCH("AL DIA",L47)),ISNUMBER(SEARCH("AL DIA",F47))),"Al día",IF(OR(ISNUMBER(SEARCH("QUIETO",L47)),ISNUMBER(SEARCH("QUIETO",F47)),ISNUMBER(SEARCH("ESPERANDO",L47)),ISNUMBER(SEARCH("ESPERANDO",F47))),"Sin respuesta / Inactivo",IF(OR(ISNUMBER(SEARCH("PENDIENTE",L47)),ISNUMBER(SEARCH("PENDIENTE",F47)),ISNUMBER(SEARCH("COMPROMISO",F47)),ISNUMBER(SEARCH("COMPROMISO",L47)),ISNUMBER(SEARCH("PROCESO",F47)),ISNUMBER(SEARCH("LLAMAR",F47)),ISNUMBER(SEARCH("ABONO",J47)),EXACT(L47,"P"),EXACT(F47,"P")),"Pendiente / Compromiso","Sin gestionar"))))</f>
        <v/>
      </c>
      <c r="P47" s="44" t="str">
        <f aca="false">IF(B47="","",IF(E47="","Sin definir",IF(ISNUMBER(SEARCH("ITIL",E47)),"ITIL",IF(ISNUMBER(SEARCH("ISO 27001",E47)),"ISO 27001",IF(ISNUMBER(SEARCH("ISO 42001",E47)),"ISO 42001",IF(ISNUMBER(SEARCH("ISO",E47)),"Otras ISO",IF(ISNUMBER(SEARCH("SCRUM",E47)),"SCRUM",IF(ISNUMBER(SEARCH("BRIDGE",E47)),"BRIDGE",IF(ISNUMBER(SEARCH("CDS",E47)),"CDS",IF(ISNUMBER(SEARCH("TOGAF",E47)),"TOGAF",IF(ISNUMBER(SEARCH("DPI",E47)),"DPI",IF(ISNUMBER(SEARCH("DITS",E47)),"DITS",IF(ISNUMBER(SEARCH("AGILE",E47)),"AGILE",IF(ISNUMBER(SEARCH("Ciberseguridad",E47)),"Ciberseguridad","Otros"))))))))))))))</f>
        <v/>
      </c>
      <c r="Q47" s="44" t="str">
        <f aca="false">IF(B47="","",IF(ISNUMBER(K47),IF(K47&lt;=3,"1-3 meses",IF(K47&lt;=6,"4-6 meses","+6 meses")),"Sin dato registrado"))</f>
        <v/>
      </c>
      <c r="R47" s="44" t="str">
        <f aca="false">IF(OR(B47="",M47=""),"",RANK(M47,$M$3:$M$306)+COUNTIF($M$3:M47,M47)-1)</f>
        <v/>
      </c>
    </row>
    <row r="48" customFormat="false" ht="15" hidden="true" customHeight="true" outlineLevel="0" collapsed="false">
      <c r="A48" s="49" t="n">
        <v>22</v>
      </c>
      <c r="C48" s="54"/>
      <c r="M48" s="44" t="str">
        <f aca="false">IF(B48="","",IF(ISNUMBER(I48),I48,IFERROR(VALUE(SUBSTITUTE(SUBSTITUTE(I48,"$",""),".","")),0)))</f>
        <v/>
      </c>
      <c r="N48" s="44" t="str">
        <f aca="false">IF(B48="","",PROPER(TRIM(D48)))</f>
        <v/>
      </c>
      <c r="O48" s="44" t="str">
        <f aca="false">IF(B48="","",IF(OR(ISNUMBER(SEARCH("AL DIA",L48)),ISNUMBER(SEARCH("AL DIA",F48))),"Al día",IF(OR(ISNUMBER(SEARCH("QUIETO",L48)),ISNUMBER(SEARCH("QUIETO",F48)),ISNUMBER(SEARCH("ESPERANDO",L48)),ISNUMBER(SEARCH("ESPERANDO",F48))),"Sin respuesta / Inactivo",IF(OR(ISNUMBER(SEARCH("PENDIENTE",L48)),ISNUMBER(SEARCH("PENDIENTE",F48)),ISNUMBER(SEARCH("COMPROMISO",F48)),ISNUMBER(SEARCH("COMPROMISO",L48)),ISNUMBER(SEARCH("PROCESO",F48)),ISNUMBER(SEARCH("LLAMAR",F48)),ISNUMBER(SEARCH("ABONO",J48)),EXACT(L48,"P"),EXACT(F48,"P")),"Pendiente / Compromiso","Sin gestionar"))))</f>
        <v/>
      </c>
      <c r="P48" s="44" t="str">
        <f aca="false">IF(B48="","",IF(E48="","Sin definir",IF(ISNUMBER(SEARCH("ITIL",E48)),"ITIL",IF(ISNUMBER(SEARCH("ISO 27001",E48)),"ISO 27001",IF(ISNUMBER(SEARCH("ISO 42001",E48)),"ISO 42001",IF(ISNUMBER(SEARCH("ISO",E48)),"Otras ISO",IF(ISNUMBER(SEARCH("SCRUM",E48)),"SCRUM",IF(ISNUMBER(SEARCH("BRIDGE",E48)),"BRIDGE",IF(ISNUMBER(SEARCH("CDS",E48)),"CDS",IF(ISNUMBER(SEARCH("TOGAF",E48)),"TOGAF",IF(ISNUMBER(SEARCH("DPI",E48)),"DPI",IF(ISNUMBER(SEARCH("DITS",E48)),"DITS",IF(ISNUMBER(SEARCH("AGILE",E48)),"AGILE",IF(ISNUMBER(SEARCH("Ciberseguridad",E48)),"Ciberseguridad","Otros"))))))))))))))</f>
        <v/>
      </c>
      <c r="Q48" s="44" t="str">
        <f aca="false">IF(B48="","",IF(ISNUMBER(K48),IF(K48&lt;=3,"1-3 meses",IF(K48&lt;=6,"4-6 meses","+6 meses")),"Sin dato registrado"))</f>
        <v/>
      </c>
      <c r="R48" s="44" t="str">
        <f aca="false">IF(OR(B48="",M48=""),"",RANK(M48,$M$3:$M$306)+COUNTIF($M$3:M48,M48)-1)</f>
        <v/>
      </c>
    </row>
    <row r="49" customFormat="false" ht="15" hidden="true" customHeight="true" outlineLevel="0" collapsed="false">
      <c r="A49" s="50" t="n">
        <v>22</v>
      </c>
      <c r="C49" s="54"/>
      <c r="M49" s="44" t="str">
        <f aca="false">IF(B49="","",IF(ISNUMBER(I49),I49,IFERROR(VALUE(SUBSTITUTE(SUBSTITUTE(I49,"$",""),".","")),0)))</f>
        <v/>
      </c>
      <c r="N49" s="44" t="str">
        <f aca="false">IF(B49="","",PROPER(TRIM(D49)))</f>
        <v/>
      </c>
      <c r="O49" s="44" t="str">
        <f aca="false">IF(B49="","",IF(OR(ISNUMBER(SEARCH("AL DIA",L49)),ISNUMBER(SEARCH("AL DIA",F49))),"Al día",IF(OR(ISNUMBER(SEARCH("QUIETO",L49)),ISNUMBER(SEARCH("QUIETO",F49)),ISNUMBER(SEARCH("ESPERANDO",L49)),ISNUMBER(SEARCH("ESPERANDO",F49))),"Sin respuesta / Inactivo",IF(OR(ISNUMBER(SEARCH("PENDIENTE",L49)),ISNUMBER(SEARCH("PENDIENTE",F49)),ISNUMBER(SEARCH("COMPROMISO",F49)),ISNUMBER(SEARCH("COMPROMISO",L49)),ISNUMBER(SEARCH("PROCESO",F49)),ISNUMBER(SEARCH("LLAMAR",F49)),ISNUMBER(SEARCH("ABONO",J49)),EXACT(L49,"P"),EXACT(F49,"P")),"Pendiente / Compromiso","Sin gestionar"))))</f>
        <v/>
      </c>
      <c r="P49" s="44" t="str">
        <f aca="false">IF(B49="","",IF(E49="","Sin definir",IF(ISNUMBER(SEARCH("ITIL",E49)),"ITIL",IF(ISNUMBER(SEARCH("ISO 27001",E49)),"ISO 27001",IF(ISNUMBER(SEARCH("ISO 42001",E49)),"ISO 42001",IF(ISNUMBER(SEARCH("ISO",E49)),"Otras ISO",IF(ISNUMBER(SEARCH("SCRUM",E49)),"SCRUM",IF(ISNUMBER(SEARCH("BRIDGE",E49)),"BRIDGE",IF(ISNUMBER(SEARCH("CDS",E49)),"CDS",IF(ISNUMBER(SEARCH("TOGAF",E49)),"TOGAF",IF(ISNUMBER(SEARCH("DPI",E49)),"DPI",IF(ISNUMBER(SEARCH("DITS",E49)),"DITS",IF(ISNUMBER(SEARCH("AGILE",E49)),"AGILE",IF(ISNUMBER(SEARCH("Ciberseguridad",E49)),"Ciberseguridad","Otros"))))))))))))))</f>
        <v/>
      </c>
      <c r="Q49" s="44" t="str">
        <f aca="false">IF(B49="","",IF(ISNUMBER(K49),IF(K49&lt;=3,"1-3 meses",IF(K49&lt;=6,"4-6 meses","+6 meses")),"Sin dato registrado"))</f>
        <v/>
      </c>
      <c r="R49" s="44" t="str">
        <f aca="false">IF(OR(B49="",M49=""),"",RANK(M49,$M$3:$M$306)+COUNTIF($M$3:M49,M49)-1)</f>
        <v/>
      </c>
    </row>
    <row r="50" customFormat="false" ht="15" hidden="true" customHeight="true" outlineLevel="0" collapsed="false">
      <c r="A50" s="49" t="n">
        <v>22</v>
      </c>
      <c r="C50" s="54"/>
      <c r="M50" s="44" t="str">
        <f aca="false">IF(B50="","",IF(ISNUMBER(I50),I50,IFERROR(VALUE(SUBSTITUTE(SUBSTITUTE(I50,"$",""),".","")),0)))</f>
        <v/>
      </c>
      <c r="N50" s="44" t="str">
        <f aca="false">IF(B50="","",PROPER(TRIM(D50)))</f>
        <v/>
      </c>
      <c r="O50" s="44" t="str">
        <f aca="false">IF(B50="","",IF(OR(ISNUMBER(SEARCH("AL DIA",L50)),ISNUMBER(SEARCH("AL DIA",F50))),"Al día",IF(OR(ISNUMBER(SEARCH("QUIETO",L50)),ISNUMBER(SEARCH("QUIETO",F50)),ISNUMBER(SEARCH("ESPERANDO",L50)),ISNUMBER(SEARCH("ESPERANDO",F50))),"Sin respuesta / Inactivo",IF(OR(ISNUMBER(SEARCH("PENDIENTE",L50)),ISNUMBER(SEARCH("PENDIENTE",F50)),ISNUMBER(SEARCH("COMPROMISO",F50)),ISNUMBER(SEARCH("COMPROMISO",L50)),ISNUMBER(SEARCH("PROCESO",F50)),ISNUMBER(SEARCH("LLAMAR",F50)),ISNUMBER(SEARCH("ABONO",J50)),EXACT(L50,"P"),EXACT(F50,"P")),"Pendiente / Compromiso","Sin gestionar"))))</f>
        <v/>
      </c>
      <c r="P50" s="44" t="str">
        <f aca="false">IF(B50="","",IF(E50="","Sin definir",IF(ISNUMBER(SEARCH("ITIL",E50)),"ITIL",IF(ISNUMBER(SEARCH("ISO 27001",E50)),"ISO 27001",IF(ISNUMBER(SEARCH("ISO 42001",E50)),"ISO 42001",IF(ISNUMBER(SEARCH("ISO",E50)),"Otras ISO",IF(ISNUMBER(SEARCH("SCRUM",E50)),"SCRUM",IF(ISNUMBER(SEARCH("BRIDGE",E50)),"BRIDGE",IF(ISNUMBER(SEARCH("CDS",E50)),"CDS",IF(ISNUMBER(SEARCH("TOGAF",E50)),"TOGAF",IF(ISNUMBER(SEARCH("DPI",E50)),"DPI",IF(ISNUMBER(SEARCH("DITS",E50)),"DITS",IF(ISNUMBER(SEARCH("AGILE",E50)),"AGILE",IF(ISNUMBER(SEARCH("Ciberseguridad",E50)),"Ciberseguridad","Otros"))))))))))))))</f>
        <v/>
      </c>
      <c r="Q50" s="44" t="str">
        <f aca="false">IF(B50="","",IF(ISNUMBER(K50),IF(K50&lt;=3,"1-3 meses",IF(K50&lt;=6,"4-6 meses","+6 meses")),"Sin dato registrado"))</f>
        <v/>
      </c>
      <c r="R50" s="44" t="str">
        <f aca="false">IF(OR(B50="",M50=""),"",RANK(M50,$M$3:$M$306)+COUNTIF($M$3:M50,M50)-1)</f>
        <v/>
      </c>
    </row>
    <row r="51" customFormat="false" ht="15" hidden="true" customHeight="true" outlineLevel="0" collapsed="false">
      <c r="A51" s="50" t="n">
        <v>22</v>
      </c>
      <c r="C51" s="54"/>
      <c r="M51" s="44" t="str">
        <f aca="false">IF(B51="","",IF(ISNUMBER(I51),I51,IFERROR(VALUE(SUBSTITUTE(SUBSTITUTE(I51,"$",""),".","")),0)))</f>
        <v/>
      </c>
      <c r="N51" s="44" t="str">
        <f aca="false">IF(B51="","",PROPER(TRIM(D51)))</f>
        <v/>
      </c>
      <c r="O51" s="44" t="str">
        <f aca="false">IF(B51="","",IF(OR(ISNUMBER(SEARCH("AL DIA",L51)),ISNUMBER(SEARCH("AL DIA",F51))),"Al día",IF(OR(ISNUMBER(SEARCH("QUIETO",L51)),ISNUMBER(SEARCH("QUIETO",F51)),ISNUMBER(SEARCH("ESPERANDO",L51)),ISNUMBER(SEARCH("ESPERANDO",F51))),"Sin respuesta / Inactivo",IF(OR(ISNUMBER(SEARCH("PENDIENTE",L51)),ISNUMBER(SEARCH("PENDIENTE",F51)),ISNUMBER(SEARCH("COMPROMISO",F51)),ISNUMBER(SEARCH("COMPROMISO",L51)),ISNUMBER(SEARCH("PROCESO",F51)),ISNUMBER(SEARCH("LLAMAR",F51)),ISNUMBER(SEARCH("ABONO",J51)),EXACT(L51,"P"),EXACT(F51,"P")),"Pendiente / Compromiso","Sin gestionar"))))</f>
        <v/>
      </c>
      <c r="P51" s="44" t="str">
        <f aca="false">IF(B51="","",IF(E51="","Sin definir",IF(ISNUMBER(SEARCH("ITIL",E51)),"ITIL",IF(ISNUMBER(SEARCH("ISO 27001",E51)),"ISO 27001",IF(ISNUMBER(SEARCH("ISO 42001",E51)),"ISO 42001",IF(ISNUMBER(SEARCH("ISO",E51)),"Otras ISO",IF(ISNUMBER(SEARCH("SCRUM",E51)),"SCRUM",IF(ISNUMBER(SEARCH("BRIDGE",E51)),"BRIDGE",IF(ISNUMBER(SEARCH("CDS",E51)),"CDS",IF(ISNUMBER(SEARCH("TOGAF",E51)),"TOGAF",IF(ISNUMBER(SEARCH("DPI",E51)),"DPI",IF(ISNUMBER(SEARCH("DITS",E51)),"DITS",IF(ISNUMBER(SEARCH("AGILE",E51)),"AGILE",IF(ISNUMBER(SEARCH("Ciberseguridad",E51)),"Ciberseguridad","Otros"))))))))))))))</f>
        <v/>
      </c>
      <c r="Q51" s="44" t="str">
        <f aca="false">IF(B51="","",IF(ISNUMBER(K51),IF(K51&lt;=3,"1-3 meses",IF(K51&lt;=6,"4-6 meses","+6 meses")),"Sin dato registrado"))</f>
        <v/>
      </c>
      <c r="R51" s="44" t="str">
        <f aca="false">IF(OR(B51="",M51=""),"",RANK(M51,$M$3:$M$306)+COUNTIF($M$3:M51,M51)-1)</f>
        <v/>
      </c>
    </row>
    <row r="52" customFormat="false" ht="15" hidden="true" customHeight="true" outlineLevel="0" collapsed="false">
      <c r="A52" s="49" t="n">
        <v>22</v>
      </c>
      <c r="C52" s="54"/>
      <c r="M52" s="44" t="str">
        <f aca="false">IF(B52="","",IF(ISNUMBER(I52),I52,IFERROR(VALUE(SUBSTITUTE(SUBSTITUTE(I52,"$",""),".","")),0)))</f>
        <v/>
      </c>
      <c r="N52" s="44" t="str">
        <f aca="false">IF(B52="","",PROPER(TRIM(D52)))</f>
        <v/>
      </c>
      <c r="O52" s="44" t="str">
        <f aca="false">IF(B52="","",IF(OR(ISNUMBER(SEARCH("AL DIA",L52)),ISNUMBER(SEARCH("AL DIA",F52))),"Al día",IF(OR(ISNUMBER(SEARCH("QUIETO",L52)),ISNUMBER(SEARCH("QUIETO",F52)),ISNUMBER(SEARCH("ESPERANDO",L52)),ISNUMBER(SEARCH("ESPERANDO",F52))),"Sin respuesta / Inactivo",IF(OR(ISNUMBER(SEARCH("PENDIENTE",L52)),ISNUMBER(SEARCH("PENDIENTE",F52)),ISNUMBER(SEARCH("COMPROMISO",F52)),ISNUMBER(SEARCH("COMPROMISO",L52)),ISNUMBER(SEARCH("PROCESO",F52)),ISNUMBER(SEARCH("LLAMAR",F52)),ISNUMBER(SEARCH("ABONO",J52)),EXACT(L52,"P"),EXACT(F52,"P")),"Pendiente / Compromiso","Sin gestionar"))))</f>
        <v/>
      </c>
      <c r="P52" s="44" t="str">
        <f aca="false">IF(B52="","",IF(E52="","Sin definir",IF(ISNUMBER(SEARCH("ITIL",E52)),"ITIL",IF(ISNUMBER(SEARCH("ISO 27001",E52)),"ISO 27001",IF(ISNUMBER(SEARCH("ISO 42001",E52)),"ISO 42001",IF(ISNUMBER(SEARCH("ISO",E52)),"Otras ISO",IF(ISNUMBER(SEARCH("SCRUM",E52)),"SCRUM",IF(ISNUMBER(SEARCH("BRIDGE",E52)),"BRIDGE",IF(ISNUMBER(SEARCH("CDS",E52)),"CDS",IF(ISNUMBER(SEARCH("TOGAF",E52)),"TOGAF",IF(ISNUMBER(SEARCH("DPI",E52)),"DPI",IF(ISNUMBER(SEARCH("DITS",E52)),"DITS",IF(ISNUMBER(SEARCH("AGILE",E52)),"AGILE",IF(ISNUMBER(SEARCH("Ciberseguridad",E52)),"Ciberseguridad","Otros"))))))))))))))</f>
        <v/>
      </c>
      <c r="Q52" s="44" t="str">
        <f aca="false">IF(B52="","",IF(ISNUMBER(K52),IF(K52&lt;=3,"1-3 meses",IF(K52&lt;=6,"4-6 meses","+6 meses")),"Sin dato registrado"))</f>
        <v/>
      </c>
      <c r="R52" s="44" t="str">
        <f aca="false">IF(OR(B52="",M52=""),"",RANK(M52,$M$3:$M$306)+COUNTIF($M$3:M52,M52)-1)</f>
        <v/>
      </c>
    </row>
    <row r="53" customFormat="false" ht="15" hidden="true" customHeight="true" outlineLevel="0" collapsed="false">
      <c r="A53" s="50" t="n">
        <v>22</v>
      </c>
      <c r="C53" s="54"/>
      <c r="M53" s="44" t="str">
        <f aca="false">IF(B53="","",IF(ISNUMBER(I53),I53,IFERROR(VALUE(SUBSTITUTE(SUBSTITUTE(I53,"$",""),".","")),0)))</f>
        <v/>
      </c>
      <c r="N53" s="44" t="str">
        <f aca="false">IF(B53="","",PROPER(TRIM(D53)))</f>
        <v/>
      </c>
      <c r="O53" s="44" t="str">
        <f aca="false">IF(B53="","",IF(OR(ISNUMBER(SEARCH("AL DIA",L53)),ISNUMBER(SEARCH("AL DIA",F53))),"Al día",IF(OR(ISNUMBER(SEARCH("QUIETO",L53)),ISNUMBER(SEARCH("QUIETO",F53)),ISNUMBER(SEARCH("ESPERANDO",L53)),ISNUMBER(SEARCH("ESPERANDO",F53))),"Sin respuesta / Inactivo",IF(OR(ISNUMBER(SEARCH("PENDIENTE",L53)),ISNUMBER(SEARCH("PENDIENTE",F53)),ISNUMBER(SEARCH("COMPROMISO",F53)),ISNUMBER(SEARCH("COMPROMISO",L53)),ISNUMBER(SEARCH("PROCESO",F53)),ISNUMBER(SEARCH("LLAMAR",F53)),ISNUMBER(SEARCH("ABONO",J53)),EXACT(L53,"P"),EXACT(F53,"P")),"Pendiente / Compromiso","Sin gestionar"))))</f>
        <v/>
      </c>
      <c r="P53" s="44" t="str">
        <f aca="false">IF(B53="","",IF(E53="","Sin definir",IF(ISNUMBER(SEARCH("ITIL",E53)),"ITIL",IF(ISNUMBER(SEARCH("ISO 27001",E53)),"ISO 27001",IF(ISNUMBER(SEARCH("ISO 42001",E53)),"ISO 42001",IF(ISNUMBER(SEARCH("ISO",E53)),"Otras ISO",IF(ISNUMBER(SEARCH("SCRUM",E53)),"SCRUM",IF(ISNUMBER(SEARCH("BRIDGE",E53)),"BRIDGE",IF(ISNUMBER(SEARCH("CDS",E53)),"CDS",IF(ISNUMBER(SEARCH("TOGAF",E53)),"TOGAF",IF(ISNUMBER(SEARCH("DPI",E53)),"DPI",IF(ISNUMBER(SEARCH("DITS",E53)),"DITS",IF(ISNUMBER(SEARCH("AGILE",E53)),"AGILE",IF(ISNUMBER(SEARCH("Ciberseguridad",E53)),"Ciberseguridad","Otros"))))))))))))))</f>
        <v/>
      </c>
      <c r="Q53" s="44" t="str">
        <f aca="false">IF(B53="","",IF(ISNUMBER(K53),IF(K53&lt;=3,"1-3 meses",IF(K53&lt;=6,"4-6 meses","+6 meses")),"Sin dato registrado"))</f>
        <v/>
      </c>
      <c r="R53" s="44" t="str">
        <f aca="false">IF(OR(B53="",M53=""),"",RANK(M53,$M$3:$M$306)+COUNTIF($M$3:M53,M53)-1)</f>
        <v/>
      </c>
    </row>
    <row r="54" customFormat="false" ht="15" hidden="true" customHeight="true" outlineLevel="0" collapsed="false">
      <c r="A54" s="49" t="n">
        <v>22</v>
      </c>
      <c r="C54" s="54"/>
      <c r="M54" s="44" t="str">
        <f aca="false">IF(B54="","",IF(ISNUMBER(I54),I54,IFERROR(VALUE(SUBSTITUTE(SUBSTITUTE(I54,"$",""),".","")),0)))</f>
        <v/>
      </c>
      <c r="N54" s="44" t="str">
        <f aca="false">IF(B54="","",PROPER(TRIM(D54)))</f>
        <v/>
      </c>
      <c r="O54" s="44" t="str">
        <f aca="false">IF(B54="","",IF(OR(ISNUMBER(SEARCH("AL DIA",L54)),ISNUMBER(SEARCH("AL DIA",F54))),"Al día",IF(OR(ISNUMBER(SEARCH("QUIETO",L54)),ISNUMBER(SEARCH("QUIETO",F54)),ISNUMBER(SEARCH("ESPERANDO",L54)),ISNUMBER(SEARCH("ESPERANDO",F54))),"Sin respuesta / Inactivo",IF(OR(ISNUMBER(SEARCH("PENDIENTE",L54)),ISNUMBER(SEARCH("PENDIENTE",F54)),ISNUMBER(SEARCH("COMPROMISO",F54)),ISNUMBER(SEARCH("COMPROMISO",L54)),ISNUMBER(SEARCH("PROCESO",F54)),ISNUMBER(SEARCH("LLAMAR",F54)),ISNUMBER(SEARCH("ABONO",J54)),EXACT(L54,"P"),EXACT(F54,"P")),"Pendiente / Compromiso","Sin gestionar"))))</f>
        <v/>
      </c>
      <c r="P54" s="44" t="str">
        <f aca="false">IF(B54="","",IF(E54="","Sin definir",IF(ISNUMBER(SEARCH("ITIL",E54)),"ITIL",IF(ISNUMBER(SEARCH("ISO 27001",E54)),"ISO 27001",IF(ISNUMBER(SEARCH("ISO 42001",E54)),"ISO 42001",IF(ISNUMBER(SEARCH("ISO",E54)),"Otras ISO",IF(ISNUMBER(SEARCH("SCRUM",E54)),"SCRUM",IF(ISNUMBER(SEARCH("BRIDGE",E54)),"BRIDGE",IF(ISNUMBER(SEARCH("CDS",E54)),"CDS",IF(ISNUMBER(SEARCH("TOGAF",E54)),"TOGAF",IF(ISNUMBER(SEARCH("DPI",E54)),"DPI",IF(ISNUMBER(SEARCH("DITS",E54)),"DITS",IF(ISNUMBER(SEARCH("AGILE",E54)),"AGILE",IF(ISNUMBER(SEARCH("Ciberseguridad",E54)),"Ciberseguridad","Otros"))))))))))))))</f>
        <v/>
      </c>
      <c r="Q54" s="44" t="str">
        <f aca="false">IF(B54="","",IF(ISNUMBER(K54),IF(K54&lt;=3,"1-3 meses",IF(K54&lt;=6,"4-6 meses","+6 meses")),"Sin dato registrado"))</f>
        <v/>
      </c>
      <c r="R54" s="44" t="str">
        <f aca="false">IF(OR(B54="",M54=""),"",RANK(M54,$M$3:$M$306)+COUNTIF($M$3:M54,M54)-1)</f>
        <v/>
      </c>
    </row>
    <row r="55" customFormat="false" ht="15" hidden="true" customHeight="true" outlineLevel="0" collapsed="false">
      <c r="A55" s="50" t="n">
        <v>22</v>
      </c>
      <c r="C55" s="54"/>
      <c r="M55" s="44" t="str">
        <f aca="false">IF(B55="","",IF(ISNUMBER(I55),I55,IFERROR(VALUE(SUBSTITUTE(SUBSTITUTE(I55,"$",""),".","")),0)))</f>
        <v/>
      </c>
      <c r="N55" s="44" t="str">
        <f aca="false">IF(B55="","",PROPER(TRIM(D55)))</f>
        <v/>
      </c>
      <c r="O55" s="44" t="str">
        <f aca="false">IF(B55="","",IF(OR(ISNUMBER(SEARCH("AL DIA",L55)),ISNUMBER(SEARCH("AL DIA",F55))),"Al día",IF(OR(ISNUMBER(SEARCH("QUIETO",L55)),ISNUMBER(SEARCH("QUIETO",F55)),ISNUMBER(SEARCH("ESPERANDO",L55)),ISNUMBER(SEARCH("ESPERANDO",F55))),"Sin respuesta / Inactivo",IF(OR(ISNUMBER(SEARCH("PENDIENTE",L55)),ISNUMBER(SEARCH("PENDIENTE",F55)),ISNUMBER(SEARCH("COMPROMISO",F55)),ISNUMBER(SEARCH("COMPROMISO",L55)),ISNUMBER(SEARCH("PROCESO",F55)),ISNUMBER(SEARCH("LLAMAR",F55)),ISNUMBER(SEARCH("ABONO",J55)),EXACT(L55,"P"),EXACT(F55,"P")),"Pendiente / Compromiso","Sin gestionar"))))</f>
        <v/>
      </c>
      <c r="P55" s="44" t="str">
        <f aca="false">IF(B55="","",IF(E55="","Sin definir",IF(ISNUMBER(SEARCH("ITIL",E55)),"ITIL",IF(ISNUMBER(SEARCH("ISO 27001",E55)),"ISO 27001",IF(ISNUMBER(SEARCH("ISO 42001",E55)),"ISO 42001",IF(ISNUMBER(SEARCH("ISO",E55)),"Otras ISO",IF(ISNUMBER(SEARCH("SCRUM",E55)),"SCRUM",IF(ISNUMBER(SEARCH("BRIDGE",E55)),"BRIDGE",IF(ISNUMBER(SEARCH("CDS",E55)),"CDS",IF(ISNUMBER(SEARCH("TOGAF",E55)),"TOGAF",IF(ISNUMBER(SEARCH("DPI",E55)),"DPI",IF(ISNUMBER(SEARCH("DITS",E55)),"DITS",IF(ISNUMBER(SEARCH("AGILE",E55)),"AGILE",IF(ISNUMBER(SEARCH("Ciberseguridad",E55)),"Ciberseguridad","Otros"))))))))))))))</f>
        <v/>
      </c>
      <c r="Q55" s="44" t="str">
        <f aca="false">IF(B55="","",IF(ISNUMBER(K55),IF(K55&lt;=3,"1-3 meses",IF(K55&lt;=6,"4-6 meses","+6 meses")),"Sin dato registrado"))</f>
        <v/>
      </c>
      <c r="R55" s="44" t="str">
        <f aca="false">IF(OR(B55="",M55=""),"",RANK(M55,$M$3:$M$306)+COUNTIF($M$3:M55,M55)-1)</f>
        <v/>
      </c>
    </row>
    <row r="56" customFormat="false" ht="15" hidden="true" customHeight="true" outlineLevel="0" collapsed="false">
      <c r="A56" s="49" t="n">
        <v>22</v>
      </c>
      <c r="C56" s="54"/>
      <c r="M56" s="44" t="str">
        <f aca="false">IF(B56="","",IF(ISNUMBER(I56),I56,IFERROR(VALUE(SUBSTITUTE(SUBSTITUTE(I56,"$",""),".","")),0)))</f>
        <v/>
      </c>
      <c r="N56" s="44" t="str">
        <f aca="false">IF(B56="","",PROPER(TRIM(D56)))</f>
        <v/>
      </c>
      <c r="O56" s="44" t="str">
        <f aca="false">IF(B56="","",IF(OR(ISNUMBER(SEARCH("AL DIA",L56)),ISNUMBER(SEARCH("AL DIA",F56))),"Al día",IF(OR(ISNUMBER(SEARCH("QUIETO",L56)),ISNUMBER(SEARCH("QUIETO",F56)),ISNUMBER(SEARCH("ESPERANDO",L56)),ISNUMBER(SEARCH("ESPERANDO",F56))),"Sin respuesta / Inactivo",IF(OR(ISNUMBER(SEARCH("PENDIENTE",L56)),ISNUMBER(SEARCH("PENDIENTE",F56)),ISNUMBER(SEARCH("COMPROMISO",F56)),ISNUMBER(SEARCH("COMPROMISO",L56)),ISNUMBER(SEARCH("PROCESO",F56)),ISNUMBER(SEARCH("LLAMAR",F56)),ISNUMBER(SEARCH("ABONO",J56)),EXACT(L56,"P"),EXACT(F56,"P")),"Pendiente / Compromiso","Sin gestionar"))))</f>
        <v/>
      </c>
      <c r="P56" s="44" t="str">
        <f aca="false">IF(B56="","",IF(E56="","Sin definir",IF(ISNUMBER(SEARCH("ITIL",E56)),"ITIL",IF(ISNUMBER(SEARCH("ISO 27001",E56)),"ISO 27001",IF(ISNUMBER(SEARCH("ISO 42001",E56)),"ISO 42001",IF(ISNUMBER(SEARCH("ISO",E56)),"Otras ISO",IF(ISNUMBER(SEARCH("SCRUM",E56)),"SCRUM",IF(ISNUMBER(SEARCH("BRIDGE",E56)),"BRIDGE",IF(ISNUMBER(SEARCH("CDS",E56)),"CDS",IF(ISNUMBER(SEARCH("TOGAF",E56)),"TOGAF",IF(ISNUMBER(SEARCH("DPI",E56)),"DPI",IF(ISNUMBER(SEARCH("DITS",E56)),"DITS",IF(ISNUMBER(SEARCH("AGILE",E56)),"AGILE",IF(ISNUMBER(SEARCH("Ciberseguridad",E56)),"Ciberseguridad","Otros"))))))))))))))</f>
        <v/>
      </c>
      <c r="Q56" s="44" t="str">
        <f aca="false">IF(B56="","",IF(ISNUMBER(K56),IF(K56&lt;=3,"1-3 meses",IF(K56&lt;=6,"4-6 meses","+6 meses")),"Sin dato registrado"))</f>
        <v/>
      </c>
      <c r="R56" s="44" t="str">
        <f aca="false">IF(OR(B56="",M56=""),"",RANK(M56,$M$3:$M$306)+COUNTIF($M$3:M56,M56)-1)</f>
        <v/>
      </c>
    </row>
    <row r="57" customFormat="false" ht="15" hidden="true" customHeight="true" outlineLevel="0" collapsed="false">
      <c r="A57" s="50" t="n">
        <v>22</v>
      </c>
      <c r="C57" s="54"/>
      <c r="M57" s="44" t="str">
        <f aca="false">IF(B57="","",IF(ISNUMBER(I57),I57,IFERROR(VALUE(SUBSTITUTE(SUBSTITUTE(I57,"$",""),".","")),0)))</f>
        <v/>
      </c>
      <c r="N57" s="44" t="str">
        <f aca="false">IF(B57="","",PROPER(TRIM(D57)))</f>
        <v/>
      </c>
      <c r="O57" s="44" t="str">
        <f aca="false">IF(B57="","",IF(OR(ISNUMBER(SEARCH("AL DIA",L57)),ISNUMBER(SEARCH("AL DIA",F57))),"Al día",IF(OR(ISNUMBER(SEARCH("QUIETO",L57)),ISNUMBER(SEARCH("QUIETO",F57)),ISNUMBER(SEARCH("ESPERANDO",L57)),ISNUMBER(SEARCH("ESPERANDO",F57))),"Sin respuesta / Inactivo",IF(OR(ISNUMBER(SEARCH("PENDIENTE",L57)),ISNUMBER(SEARCH("PENDIENTE",F57)),ISNUMBER(SEARCH("COMPROMISO",F57)),ISNUMBER(SEARCH("COMPROMISO",L57)),ISNUMBER(SEARCH("PROCESO",F57)),ISNUMBER(SEARCH("LLAMAR",F57)),ISNUMBER(SEARCH("ABONO",J57)),EXACT(L57,"P"),EXACT(F57,"P")),"Pendiente / Compromiso","Sin gestionar"))))</f>
        <v/>
      </c>
      <c r="P57" s="44" t="str">
        <f aca="false">IF(B57="","",IF(E57="","Sin definir",IF(ISNUMBER(SEARCH("ITIL",E57)),"ITIL",IF(ISNUMBER(SEARCH("ISO 27001",E57)),"ISO 27001",IF(ISNUMBER(SEARCH("ISO 42001",E57)),"ISO 42001",IF(ISNUMBER(SEARCH("ISO",E57)),"Otras ISO",IF(ISNUMBER(SEARCH("SCRUM",E57)),"SCRUM",IF(ISNUMBER(SEARCH("BRIDGE",E57)),"BRIDGE",IF(ISNUMBER(SEARCH("CDS",E57)),"CDS",IF(ISNUMBER(SEARCH("TOGAF",E57)),"TOGAF",IF(ISNUMBER(SEARCH("DPI",E57)),"DPI",IF(ISNUMBER(SEARCH("DITS",E57)),"DITS",IF(ISNUMBER(SEARCH("AGILE",E57)),"AGILE",IF(ISNUMBER(SEARCH("Ciberseguridad",E57)),"Ciberseguridad","Otros"))))))))))))))</f>
        <v/>
      </c>
      <c r="Q57" s="44" t="str">
        <f aca="false">IF(B57="","",IF(ISNUMBER(K57),IF(K57&lt;=3,"1-3 meses",IF(K57&lt;=6,"4-6 meses","+6 meses")),"Sin dato registrado"))</f>
        <v/>
      </c>
      <c r="R57" s="44" t="str">
        <f aca="false">IF(OR(B57="",M57=""),"",RANK(M57,$M$3:$M$306)+COUNTIF($M$3:M57,M57)-1)</f>
        <v/>
      </c>
    </row>
    <row r="58" customFormat="false" ht="15" hidden="true" customHeight="true" outlineLevel="0" collapsed="false">
      <c r="A58" s="49" t="n">
        <v>22</v>
      </c>
      <c r="C58" s="54"/>
      <c r="M58" s="44" t="str">
        <f aca="false">IF(B58="","",IF(ISNUMBER(I58),I58,IFERROR(VALUE(SUBSTITUTE(SUBSTITUTE(I58,"$",""),".","")),0)))</f>
        <v/>
      </c>
      <c r="N58" s="44" t="str">
        <f aca="false">IF(B58="","",PROPER(TRIM(D58)))</f>
        <v/>
      </c>
      <c r="O58" s="44" t="str">
        <f aca="false">IF(B58="","",IF(OR(ISNUMBER(SEARCH("AL DIA",L58)),ISNUMBER(SEARCH("AL DIA",F58))),"Al día",IF(OR(ISNUMBER(SEARCH("QUIETO",L58)),ISNUMBER(SEARCH("QUIETO",F58)),ISNUMBER(SEARCH("ESPERANDO",L58)),ISNUMBER(SEARCH("ESPERANDO",F58))),"Sin respuesta / Inactivo",IF(OR(ISNUMBER(SEARCH("PENDIENTE",L58)),ISNUMBER(SEARCH("PENDIENTE",F58)),ISNUMBER(SEARCH("COMPROMISO",F58)),ISNUMBER(SEARCH("COMPROMISO",L58)),ISNUMBER(SEARCH("PROCESO",F58)),ISNUMBER(SEARCH("LLAMAR",F58)),ISNUMBER(SEARCH("ABONO",J58)),EXACT(L58,"P"),EXACT(F58,"P")),"Pendiente / Compromiso","Sin gestionar"))))</f>
        <v/>
      </c>
      <c r="P58" s="44" t="str">
        <f aca="false">IF(B58="","",IF(E58="","Sin definir",IF(ISNUMBER(SEARCH("ITIL",E58)),"ITIL",IF(ISNUMBER(SEARCH("ISO 27001",E58)),"ISO 27001",IF(ISNUMBER(SEARCH("ISO 42001",E58)),"ISO 42001",IF(ISNUMBER(SEARCH("ISO",E58)),"Otras ISO",IF(ISNUMBER(SEARCH("SCRUM",E58)),"SCRUM",IF(ISNUMBER(SEARCH("BRIDGE",E58)),"BRIDGE",IF(ISNUMBER(SEARCH("CDS",E58)),"CDS",IF(ISNUMBER(SEARCH("TOGAF",E58)),"TOGAF",IF(ISNUMBER(SEARCH("DPI",E58)),"DPI",IF(ISNUMBER(SEARCH("DITS",E58)),"DITS",IF(ISNUMBER(SEARCH("AGILE",E58)),"AGILE",IF(ISNUMBER(SEARCH("Ciberseguridad",E58)),"Ciberseguridad","Otros"))))))))))))))</f>
        <v/>
      </c>
      <c r="Q58" s="44" t="str">
        <f aca="false">IF(B58="","",IF(ISNUMBER(K58),IF(K58&lt;=3,"1-3 meses",IF(K58&lt;=6,"4-6 meses","+6 meses")),"Sin dato registrado"))</f>
        <v/>
      </c>
      <c r="R58" s="44" t="str">
        <f aca="false">IF(OR(B58="",M58=""),"",RANK(M58,$M$3:$M$306)+COUNTIF($M$3:M58,M58)-1)</f>
        <v/>
      </c>
    </row>
    <row r="59" customFormat="false" ht="15" hidden="true" customHeight="true" outlineLevel="0" collapsed="false">
      <c r="A59" s="50" t="n">
        <v>22</v>
      </c>
      <c r="C59" s="54"/>
      <c r="M59" s="44" t="str">
        <f aca="false">IF(B59="","",IF(ISNUMBER(I59),I59,IFERROR(VALUE(SUBSTITUTE(SUBSTITUTE(I59,"$",""),".","")),0)))</f>
        <v/>
      </c>
      <c r="N59" s="44" t="str">
        <f aca="false">IF(B59="","",PROPER(TRIM(D59)))</f>
        <v/>
      </c>
      <c r="O59" s="44" t="str">
        <f aca="false">IF(B59="","",IF(OR(ISNUMBER(SEARCH("AL DIA",L59)),ISNUMBER(SEARCH("AL DIA",F59))),"Al día",IF(OR(ISNUMBER(SEARCH("QUIETO",L59)),ISNUMBER(SEARCH("QUIETO",F59)),ISNUMBER(SEARCH("ESPERANDO",L59)),ISNUMBER(SEARCH("ESPERANDO",F59))),"Sin respuesta / Inactivo",IF(OR(ISNUMBER(SEARCH("PENDIENTE",L59)),ISNUMBER(SEARCH("PENDIENTE",F59)),ISNUMBER(SEARCH("COMPROMISO",F59)),ISNUMBER(SEARCH("COMPROMISO",L59)),ISNUMBER(SEARCH("PROCESO",F59)),ISNUMBER(SEARCH("LLAMAR",F59)),ISNUMBER(SEARCH("ABONO",J59)),EXACT(L59,"P"),EXACT(F59,"P")),"Pendiente / Compromiso","Sin gestionar"))))</f>
        <v/>
      </c>
      <c r="P59" s="44" t="str">
        <f aca="false">IF(B59="","",IF(E59="","Sin definir",IF(ISNUMBER(SEARCH("ITIL",E59)),"ITIL",IF(ISNUMBER(SEARCH("ISO 27001",E59)),"ISO 27001",IF(ISNUMBER(SEARCH("ISO 42001",E59)),"ISO 42001",IF(ISNUMBER(SEARCH("ISO",E59)),"Otras ISO",IF(ISNUMBER(SEARCH("SCRUM",E59)),"SCRUM",IF(ISNUMBER(SEARCH("BRIDGE",E59)),"BRIDGE",IF(ISNUMBER(SEARCH("CDS",E59)),"CDS",IF(ISNUMBER(SEARCH("TOGAF",E59)),"TOGAF",IF(ISNUMBER(SEARCH("DPI",E59)),"DPI",IF(ISNUMBER(SEARCH("DITS",E59)),"DITS",IF(ISNUMBER(SEARCH("AGILE",E59)),"AGILE",IF(ISNUMBER(SEARCH("Ciberseguridad",E59)),"Ciberseguridad","Otros"))))))))))))))</f>
        <v/>
      </c>
      <c r="Q59" s="44" t="str">
        <f aca="false">IF(B59="","",IF(ISNUMBER(K59),IF(K59&lt;=3,"1-3 meses",IF(K59&lt;=6,"4-6 meses","+6 meses")),"Sin dato registrado"))</f>
        <v/>
      </c>
      <c r="R59" s="44" t="str">
        <f aca="false">IF(OR(B59="",M59=""),"",RANK(M59,$M$3:$M$306)+COUNTIF($M$3:M59,M59)-1)</f>
        <v/>
      </c>
    </row>
    <row r="60" customFormat="false" ht="15" hidden="true" customHeight="true" outlineLevel="0" collapsed="false">
      <c r="A60" s="49" t="n">
        <v>22</v>
      </c>
      <c r="C60" s="54"/>
      <c r="M60" s="44" t="str">
        <f aca="false">IF(B60="","",IF(ISNUMBER(I60),I60,IFERROR(VALUE(SUBSTITUTE(SUBSTITUTE(I60,"$",""),".","")),0)))</f>
        <v/>
      </c>
      <c r="N60" s="44" t="str">
        <f aca="false">IF(B60="","",PROPER(TRIM(D60)))</f>
        <v/>
      </c>
      <c r="O60" s="44" t="str">
        <f aca="false">IF(B60="","",IF(OR(ISNUMBER(SEARCH("AL DIA",L60)),ISNUMBER(SEARCH("AL DIA",F60))),"Al día",IF(OR(ISNUMBER(SEARCH("QUIETO",L60)),ISNUMBER(SEARCH("QUIETO",F60)),ISNUMBER(SEARCH("ESPERANDO",L60)),ISNUMBER(SEARCH("ESPERANDO",F60))),"Sin respuesta / Inactivo",IF(OR(ISNUMBER(SEARCH("PENDIENTE",L60)),ISNUMBER(SEARCH("PENDIENTE",F60)),ISNUMBER(SEARCH("COMPROMISO",F60)),ISNUMBER(SEARCH("COMPROMISO",L60)),ISNUMBER(SEARCH("PROCESO",F60)),ISNUMBER(SEARCH("LLAMAR",F60)),ISNUMBER(SEARCH("ABONO",J60)),EXACT(L60,"P"),EXACT(F60,"P")),"Pendiente / Compromiso","Sin gestionar"))))</f>
        <v/>
      </c>
      <c r="P60" s="44" t="str">
        <f aca="false">IF(B60="","",IF(E60="","Sin definir",IF(ISNUMBER(SEARCH("ITIL",E60)),"ITIL",IF(ISNUMBER(SEARCH("ISO 27001",E60)),"ISO 27001",IF(ISNUMBER(SEARCH("ISO 42001",E60)),"ISO 42001",IF(ISNUMBER(SEARCH("ISO",E60)),"Otras ISO",IF(ISNUMBER(SEARCH("SCRUM",E60)),"SCRUM",IF(ISNUMBER(SEARCH("BRIDGE",E60)),"BRIDGE",IF(ISNUMBER(SEARCH("CDS",E60)),"CDS",IF(ISNUMBER(SEARCH("TOGAF",E60)),"TOGAF",IF(ISNUMBER(SEARCH("DPI",E60)),"DPI",IF(ISNUMBER(SEARCH("DITS",E60)),"DITS",IF(ISNUMBER(SEARCH("AGILE",E60)),"AGILE",IF(ISNUMBER(SEARCH("Ciberseguridad",E60)),"Ciberseguridad","Otros"))))))))))))))</f>
        <v/>
      </c>
      <c r="Q60" s="44" t="str">
        <f aca="false">IF(B60="","",IF(ISNUMBER(K60),IF(K60&lt;=3,"1-3 meses",IF(K60&lt;=6,"4-6 meses","+6 meses")),"Sin dato registrado"))</f>
        <v/>
      </c>
      <c r="R60" s="44" t="str">
        <f aca="false">IF(OR(B60="",M60=""),"",RANK(M60,$M$3:$M$306)+COUNTIF($M$3:M60,M60)-1)</f>
        <v/>
      </c>
    </row>
    <row r="61" customFormat="false" ht="15" hidden="true" customHeight="true" outlineLevel="0" collapsed="false">
      <c r="A61" s="50" t="n">
        <v>22</v>
      </c>
      <c r="C61" s="54"/>
      <c r="M61" s="44" t="str">
        <f aca="false">IF(B61="","",IF(ISNUMBER(I61),I61,IFERROR(VALUE(SUBSTITUTE(SUBSTITUTE(I61,"$",""),".","")),0)))</f>
        <v/>
      </c>
      <c r="N61" s="44" t="str">
        <f aca="false">IF(B61="","",PROPER(TRIM(D61)))</f>
        <v/>
      </c>
      <c r="O61" s="44" t="str">
        <f aca="false">IF(B61="","",IF(OR(ISNUMBER(SEARCH("AL DIA",L61)),ISNUMBER(SEARCH("AL DIA",F61))),"Al día",IF(OR(ISNUMBER(SEARCH("QUIETO",L61)),ISNUMBER(SEARCH("QUIETO",F61)),ISNUMBER(SEARCH("ESPERANDO",L61)),ISNUMBER(SEARCH("ESPERANDO",F61))),"Sin respuesta / Inactivo",IF(OR(ISNUMBER(SEARCH("PENDIENTE",L61)),ISNUMBER(SEARCH("PENDIENTE",F61)),ISNUMBER(SEARCH("COMPROMISO",F61)),ISNUMBER(SEARCH("COMPROMISO",L61)),ISNUMBER(SEARCH("PROCESO",F61)),ISNUMBER(SEARCH("LLAMAR",F61)),ISNUMBER(SEARCH("ABONO",J61)),EXACT(L61,"P"),EXACT(F61,"P")),"Pendiente / Compromiso","Sin gestionar"))))</f>
        <v/>
      </c>
      <c r="P61" s="44" t="str">
        <f aca="false">IF(B61="","",IF(E61="","Sin definir",IF(ISNUMBER(SEARCH("ITIL",E61)),"ITIL",IF(ISNUMBER(SEARCH("ISO 27001",E61)),"ISO 27001",IF(ISNUMBER(SEARCH("ISO 42001",E61)),"ISO 42001",IF(ISNUMBER(SEARCH("ISO",E61)),"Otras ISO",IF(ISNUMBER(SEARCH("SCRUM",E61)),"SCRUM",IF(ISNUMBER(SEARCH("BRIDGE",E61)),"BRIDGE",IF(ISNUMBER(SEARCH("CDS",E61)),"CDS",IF(ISNUMBER(SEARCH("TOGAF",E61)),"TOGAF",IF(ISNUMBER(SEARCH("DPI",E61)),"DPI",IF(ISNUMBER(SEARCH("DITS",E61)),"DITS",IF(ISNUMBER(SEARCH("AGILE",E61)),"AGILE",IF(ISNUMBER(SEARCH("Ciberseguridad",E61)),"Ciberseguridad","Otros"))))))))))))))</f>
        <v/>
      </c>
      <c r="Q61" s="44" t="str">
        <f aca="false">IF(B61="","",IF(ISNUMBER(K61),IF(K61&lt;=3,"1-3 meses",IF(K61&lt;=6,"4-6 meses","+6 meses")),"Sin dato registrado"))</f>
        <v/>
      </c>
      <c r="R61" s="44" t="str">
        <f aca="false">IF(OR(B61="",M61=""),"",RANK(M61,$M$3:$M$306)+COUNTIF($M$3:M61,M61)-1)</f>
        <v/>
      </c>
    </row>
    <row r="62" customFormat="false" ht="15" hidden="true" customHeight="true" outlineLevel="0" collapsed="false">
      <c r="A62" s="49" t="n">
        <v>22</v>
      </c>
      <c r="C62" s="54"/>
      <c r="M62" s="44" t="str">
        <f aca="false">IF(B62="","",IF(ISNUMBER(I62),I62,IFERROR(VALUE(SUBSTITUTE(SUBSTITUTE(I62,"$",""),".","")),0)))</f>
        <v/>
      </c>
      <c r="N62" s="44" t="str">
        <f aca="false">IF(B62="","",PROPER(TRIM(D62)))</f>
        <v/>
      </c>
      <c r="O62" s="44" t="str">
        <f aca="false">IF(B62="","",IF(OR(ISNUMBER(SEARCH("AL DIA",L62)),ISNUMBER(SEARCH("AL DIA",F62))),"Al día",IF(OR(ISNUMBER(SEARCH("QUIETO",L62)),ISNUMBER(SEARCH("QUIETO",F62)),ISNUMBER(SEARCH("ESPERANDO",L62)),ISNUMBER(SEARCH("ESPERANDO",F62))),"Sin respuesta / Inactivo",IF(OR(ISNUMBER(SEARCH("PENDIENTE",L62)),ISNUMBER(SEARCH("PENDIENTE",F62)),ISNUMBER(SEARCH("COMPROMISO",F62)),ISNUMBER(SEARCH("COMPROMISO",L62)),ISNUMBER(SEARCH("PROCESO",F62)),ISNUMBER(SEARCH("LLAMAR",F62)),ISNUMBER(SEARCH("ABONO",J62)),EXACT(L62,"P"),EXACT(F62,"P")),"Pendiente / Compromiso","Sin gestionar"))))</f>
        <v/>
      </c>
      <c r="P62" s="44" t="str">
        <f aca="false">IF(B62="","",IF(E62="","Sin definir",IF(ISNUMBER(SEARCH("ITIL",E62)),"ITIL",IF(ISNUMBER(SEARCH("ISO 27001",E62)),"ISO 27001",IF(ISNUMBER(SEARCH("ISO 42001",E62)),"ISO 42001",IF(ISNUMBER(SEARCH("ISO",E62)),"Otras ISO",IF(ISNUMBER(SEARCH("SCRUM",E62)),"SCRUM",IF(ISNUMBER(SEARCH("BRIDGE",E62)),"BRIDGE",IF(ISNUMBER(SEARCH("CDS",E62)),"CDS",IF(ISNUMBER(SEARCH("TOGAF",E62)),"TOGAF",IF(ISNUMBER(SEARCH("DPI",E62)),"DPI",IF(ISNUMBER(SEARCH("DITS",E62)),"DITS",IF(ISNUMBER(SEARCH("AGILE",E62)),"AGILE",IF(ISNUMBER(SEARCH("Ciberseguridad",E62)),"Ciberseguridad","Otros"))))))))))))))</f>
        <v/>
      </c>
      <c r="Q62" s="44" t="str">
        <f aca="false">IF(B62="","",IF(ISNUMBER(K62),IF(K62&lt;=3,"1-3 meses",IF(K62&lt;=6,"4-6 meses","+6 meses")),"Sin dato registrado"))</f>
        <v/>
      </c>
      <c r="R62" s="44" t="str">
        <f aca="false">IF(OR(B62="",M62=""),"",RANK(M62,$M$3:$M$306)+COUNTIF($M$3:M62,M62)-1)</f>
        <v/>
      </c>
    </row>
    <row r="63" customFormat="false" ht="15" hidden="true" customHeight="true" outlineLevel="0" collapsed="false">
      <c r="A63" s="50" t="n">
        <v>22</v>
      </c>
      <c r="C63" s="54"/>
      <c r="M63" s="44" t="str">
        <f aca="false">IF(B63="","",IF(ISNUMBER(I63),I63,IFERROR(VALUE(SUBSTITUTE(SUBSTITUTE(I63,"$",""),".","")),0)))</f>
        <v/>
      </c>
      <c r="N63" s="44" t="str">
        <f aca="false">IF(B63="","",PROPER(TRIM(D63)))</f>
        <v/>
      </c>
      <c r="O63" s="44" t="str">
        <f aca="false">IF(B63="","",IF(OR(ISNUMBER(SEARCH("AL DIA",L63)),ISNUMBER(SEARCH("AL DIA",F63))),"Al día",IF(OR(ISNUMBER(SEARCH("QUIETO",L63)),ISNUMBER(SEARCH("QUIETO",F63)),ISNUMBER(SEARCH("ESPERANDO",L63)),ISNUMBER(SEARCH("ESPERANDO",F63))),"Sin respuesta / Inactivo",IF(OR(ISNUMBER(SEARCH("PENDIENTE",L63)),ISNUMBER(SEARCH("PENDIENTE",F63)),ISNUMBER(SEARCH("COMPROMISO",F63)),ISNUMBER(SEARCH("COMPROMISO",L63)),ISNUMBER(SEARCH("PROCESO",F63)),ISNUMBER(SEARCH("LLAMAR",F63)),ISNUMBER(SEARCH("ABONO",J63)),EXACT(L63,"P"),EXACT(F63,"P")),"Pendiente / Compromiso","Sin gestionar"))))</f>
        <v/>
      </c>
      <c r="P63" s="44" t="str">
        <f aca="false">IF(B63="","",IF(E63="","Sin definir",IF(ISNUMBER(SEARCH("ITIL",E63)),"ITIL",IF(ISNUMBER(SEARCH("ISO 27001",E63)),"ISO 27001",IF(ISNUMBER(SEARCH("ISO 42001",E63)),"ISO 42001",IF(ISNUMBER(SEARCH("ISO",E63)),"Otras ISO",IF(ISNUMBER(SEARCH("SCRUM",E63)),"SCRUM",IF(ISNUMBER(SEARCH("BRIDGE",E63)),"BRIDGE",IF(ISNUMBER(SEARCH("CDS",E63)),"CDS",IF(ISNUMBER(SEARCH("TOGAF",E63)),"TOGAF",IF(ISNUMBER(SEARCH("DPI",E63)),"DPI",IF(ISNUMBER(SEARCH("DITS",E63)),"DITS",IF(ISNUMBER(SEARCH("AGILE",E63)),"AGILE",IF(ISNUMBER(SEARCH("Ciberseguridad",E63)),"Ciberseguridad","Otros"))))))))))))))</f>
        <v/>
      </c>
      <c r="Q63" s="44" t="str">
        <f aca="false">IF(B63="","",IF(ISNUMBER(K63),IF(K63&lt;=3,"1-3 meses",IF(K63&lt;=6,"4-6 meses","+6 meses")),"Sin dato registrado"))</f>
        <v/>
      </c>
      <c r="R63" s="44" t="str">
        <f aca="false">IF(OR(B63="",M63=""),"",RANK(M63,$M$3:$M$306)+COUNTIF($M$3:M63,M63)-1)</f>
        <v/>
      </c>
    </row>
    <row r="64" customFormat="false" ht="15" hidden="true" customHeight="true" outlineLevel="0" collapsed="false">
      <c r="A64" s="49" t="n">
        <v>22</v>
      </c>
      <c r="C64" s="54"/>
      <c r="M64" s="44" t="str">
        <f aca="false">IF(B64="","",IF(ISNUMBER(I64),I64,IFERROR(VALUE(SUBSTITUTE(SUBSTITUTE(I64,"$",""),".","")),0)))</f>
        <v/>
      </c>
      <c r="N64" s="44" t="str">
        <f aca="false">IF(B64="","",PROPER(TRIM(D64)))</f>
        <v/>
      </c>
      <c r="O64" s="44" t="str">
        <f aca="false">IF(B64="","",IF(OR(ISNUMBER(SEARCH("AL DIA",L64)),ISNUMBER(SEARCH("AL DIA",F64))),"Al día",IF(OR(ISNUMBER(SEARCH("QUIETO",L64)),ISNUMBER(SEARCH("QUIETO",F64)),ISNUMBER(SEARCH("ESPERANDO",L64)),ISNUMBER(SEARCH("ESPERANDO",F64))),"Sin respuesta / Inactivo",IF(OR(ISNUMBER(SEARCH("PENDIENTE",L64)),ISNUMBER(SEARCH("PENDIENTE",F64)),ISNUMBER(SEARCH("COMPROMISO",F64)),ISNUMBER(SEARCH("COMPROMISO",L64)),ISNUMBER(SEARCH("PROCESO",F64)),ISNUMBER(SEARCH("LLAMAR",F64)),ISNUMBER(SEARCH("ABONO",J64)),EXACT(L64,"P"),EXACT(F64,"P")),"Pendiente / Compromiso","Sin gestionar"))))</f>
        <v/>
      </c>
      <c r="P64" s="44" t="str">
        <f aca="false">IF(B64="","",IF(E64="","Sin definir",IF(ISNUMBER(SEARCH("ITIL",E64)),"ITIL",IF(ISNUMBER(SEARCH("ISO 27001",E64)),"ISO 27001",IF(ISNUMBER(SEARCH("ISO 42001",E64)),"ISO 42001",IF(ISNUMBER(SEARCH("ISO",E64)),"Otras ISO",IF(ISNUMBER(SEARCH("SCRUM",E64)),"SCRUM",IF(ISNUMBER(SEARCH("BRIDGE",E64)),"BRIDGE",IF(ISNUMBER(SEARCH("CDS",E64)),"CDS",IF(ISNUMBER(SEARCH("TOGAF",E64)),"TOGAF",IF(ISNUMBER(SEARCH("DPI",E64)),"DPI",IF(ISNUMBER(SEARCH("DITS",E64)),"DITS",IF(ISNUMBER(SEARCH("AGILE",E64)),"AGILE",IF(ISNUMBER(SEARCH("Ciberseguridad",E64)),"Ciberseguridad","Otros"))))))))))))))</f>
        <v/>
      </c>
      <c r="Q64" s="44" t="str">
        <f aca="false">IF(B64="","",IF(ISNUMBER(K64),IF(K64&lt;=3,"1-3 meses",IF(K64&lt;=6,"4-6 meses","+6 meses")),"Sin dato registrado"))</f>
        <v/>
      </c>
      <c r="R64" s="44" t="str">
        <f aca="false">IF(OR(B64="",M64=""),"",RANK(M64,$M$3:$M$306)+COUNTIF($M$3:M64,M64)-1)</f>
        <v/>
      </c>
    </row>
    <row r="65" customFormat="false" ht="15" hidden="true" customHeight="true" outlineLevel="0" collapsed="false">
      <c r="A65" s="50" t="n">
        <v>22</v>
      </c>
      <c r="C65" s="54"/>
      <c r="M65" s="44" t="str">
        <f aca="false">IF(B65="","",IF(ISNUMBER(I65),I65,IFERROR(VALUE(SUBSTITUTE(SUBSTITUTE(I65,"$",""),".","")),0)))</f>
        <v/>
      </c>
      <c r="N65" s="44" t="str">
        <f aca="false">IF(B65="","",PROPER(TRIM(D65)))</f>
        <v/>
      </c>
      <c r="O65" s="44" t="str">
        <f aca="false">IF(B65="","",IF(OR(ISNUMBER(SEARCH("AL DIA",L65)),ISNUMBER(SEARCH("AL DIA",F65))),"Al día",IF(OR(ISNUMBER(SEARCH("QUIETO",L65)),ISNUMBER(SEARCH("QUIETO",F65)),ISNUMBER(SEARCH("ESPERANDO",L65)),ISNUMBER(SEARCH("ESPERANDO",F65))),"Sin respuesta / Inactivo",IF(OR(ISNUMBER(SEARCH("PENDIENTE",L65)),ISNUMBER(SEARCH("PENDIENTE",F65)),ISNUMBER(SEARCH("COMPROMISO",F65)),ISNUMBER(SEARCH("COMPROMISO",L65)),ISNUMBER(SEARCH("PROCESO",F65)),ISNUMBER(SEARCH("LLAMAR",F65)),ISNUMBER(SEARCH("ABONO",J65)),EXACT(L65,"P"),EXACT(F65,"P")),"Pendiente / Compromiso","Sin gestionar"))))</f>
        <v/>
      </c>
      <c r="P65" s="44" t="str">
        <f aca="false">IF(B65="","",IF(E65="","Sin definir",IF(ISNUMBER(SEARCH("ITIL",E65)),"ITIL",IF(ISNUMBER(SEARCH("ISO 27001",E65)),"ISO 27001",IF(ISNUMBER(SEARCH("ISO 42001",E65)),"ISO 42001",IF(ISNUMBER(SEARCH("ISO",E65)),"Otras ISO",IF(ISNUMBER(SEARCH("SCRUM",E65)),"SCRUM",IF(ISNUMBER(SEARCH("BRIDGE",E65)),"BRIDGE",IF(ISNUMBER(SEARCH("CDS",E65)),"CDS",IF(ISNUMBER(SEARCH("TOGAF",E65)),"TOGAF",IF(ISNUMBER(SEARCH("DPI",E65)),"DPI",IF(ISNUMBER(SEARCH("DITS",E65)),"DITS",IF(ISNUMBER(SEARCH("AGILE",E65)),"AGILE",IF(ISNUMBER(SEARCH("Ciberseguridad",E65)),"Ciberseguridad","Otros"))))))))))))))</f>
        <v/>
      </c>
      <c r="Q65" s="44" t="str">
        <f aca="false">IF(B65="","",IF(ISNUMBER(K65),IF(K65&lt;=3,"1-3 meses",IF(K65&lt;=6,"4-6 meses","+6 meses")),"Sin dato registrado"))</f>
        <v/>
      </c>
      <c r="R65" s="44" t="str">
        <f aca="false">IF(OR(B65="",M65=""),"",RANK(M65,$M$3:$M$306)+COUNTIF($M$3:M65,M65)-1)</f>
        <v/>
      </c>
    </row>
    <row r="66" customFormat="false" ht="15" hidden="true" customHeight="true" outlineLevel="0" collapsed="false">
      <c r="A66" s="49" t="n">
        <v>22</v>
      </c>
      <c r="C66" s="54"/>
      <c r="M66" s="44" t="str">
        <f aca="false">IF(B66="","",IF(ISNUMBER(I66),I66,IFERROR(VALUE(SUBSTITUTE(SUBSTITUTE(I66,"$",""),".","")),0)))</f>
        <v/>
      </c>
      <c r="N66" s="44" t="str">
        <f aca="false">IF(B66="","",PROPER(TRIM(D66)))</f>
        <v/>
      </c>
      <c r="O66" s="44" t="str">
        <f aca="false">IF(B66="","",IF(OR(ISNUMBER(SEARCH("AL DIA",L66)),ISNUMBER(SEARCH("AL DIA",F66))),"Al día",IF(OR(ISNUMBER(SEARCH("QUIETO",L66)),ISNUMBER(SEARCH("QUIETO",F66)),ISNUMBER(SEARCH("ESPERANDO",L66)),ISNUMBER(SEARCH("ESPERANDO",F66))),"Sin respuesta / Inactivo",IF(OR(ISNUMBER(SEARCH("PENDIENTE",L66)),ISNUMBER(SEARCH("PENDIENTE",F66)),ISNUMBER(SEARCH("COMPROMISO",F66)),ISNUMBER(SEARCH("COMPROMISO",L66)),ISNUMBER(SEARCH("PROCESO",F66)),ISNUMBER(SEARCH("LLAMAR",F66)),ISNUMBER(SEARCH("ABONO",J66)),EXACT(L66,"P"),EXACT(F66,"P")),"Pendiente / Compromiso","Sin gestionar"))))</f>
        <v/>
      </c>
      <c r="P66" s="44" t="str">
        <f aca="false">IF(B66="","",IF(E66="","Sin definir",IF(ISNUMBER(SEARCH("ITIL",E66)),"ITIL",IF(ISNUMBER(SEARCH("ISO 27001",E66)),"ISO 27001",IF(ISNUMBER(SEARCH("ISO 42001",E66)),"ISO 42001",IF(ISNUMBER(SEARCH("ISO",E66)),"Otras ISO",IF(ISNUMBER(SEARCH("SCRUM",E66)),"SCRUM",IF(ISNUMBER(SEARCH("BRIDGE",E66)),"BRIDGE",IF(ISNUMBER(SEARCH("CDS",E66)),"CDS",IF(ISNUMBER(SEARCH("TOGAF",E66)),"TOGAF",IF(ISNUMBER(SEARCH("DPI",E66)),"DPI",IF(ISNUMBER(SEARCH("DITS",E66)),"DITS",IF(ISNUMBER(SEARCH("AGILE",E66)),"AGILE",IF(ISNUMBER(SEARCH("Ciberseguridad",E66)),"Ciberseguridad","Otros"))))))))))))))</f>
        <v/>
      </c>
      <c r="Q66" s="44" t="str">
        <f aca="false">IF(B66="","",IF(ISNUMBER(K66),IF(K66&lt;=3,"1-3 meses",IF(K66&lt;=6,"4-6 meses","+6 meses")),"Sin dato registrado"))</f>
        <v/>
      </c>
      <c r="R66" s="44" t="str">
        <f aca="false">IF(OR(B66="",M66=""),"",RANK(M66,$M$3:$M$306)+COUNTIF($M$3:M66,M66)-1)</f>
        <v/>
      </c>
    </row>
    <row r="67" customFormat="false" ht="15" hidden="true" customHeight="true" outlineLevel="0" collapsed="false">
      <c r="A67" s="50" t="n">
        <v>22</v>
      </c>
      <c r="C67" s="54"/>
      <c r="M67" s="44" t="str">
        <f aca="false">IF(B67="","",IF(ISNUMBER(I67),I67,IFERROR(VALUE(SUBSTITUTE(SUBSTITUTE(I67,"$",""),".","")),0)))</f>
        <v/>
      </c>
      <c r="N67" s="44" t="str">
        <f aca="false">IF(B67="","",PROPER(TRIM(D67)))</f>
        <v/>
      </c>
      <c r="O67" s="44" t="str">
        <f aca="false">IF(B67="","",IF(OR(ISNUMBER(SEARCH("AL DIA",L67)),ISNUMBER(SEARCH("AL DIA",F67))),"Al día",IF(OR(ISNUMBER(SEARCH("QUIETO",L67)),ISNUMBER(SEARCH("QUIETO",F67)),ISNUMBER(SEARCH("ESPERANDO",L67)),ISNUMBER(SEARCH("ESPERANDO",F67))),"Sin respuesta / Inactivo",IF(OR(ISNUMBER(SEARCH("PENDIENTE",L67)),ISNUMBER(SEARCH("PENDIENTE",F67)),ISNUMBER(SEARCH("COMPROMISO",F67)),ISNUMBER(SEARCH("COMPROMISO",L67)),ISNUMBER(SEARCH("PROCESO",F67)),ISNUMBER(SEARCH("LLAMAR",F67)),ISNUMBER(SEARCH("ABONO",J67)),EXACT(L67,"P"),EXACT(F67,"P")),"Pendiente / Compromiso","Sin gestionar"))))</f>
        <v/>
      </c>
      <c r="P67" s="44" t="str">
        <f aca="false">IF(B67="","",IF(E67="","Sin definir",IF(ISNUMBER(SEARCH("ITIL",E67)),"ITIL",IF(ISNUMBER(SEARCH("ISO 27001",E67)),"ISO 27001",IF(ISNUMBER(SEARCH("ISO 42001",E67)),"ISO 42001",IF(ISNUMBER(SEARCH("ISO",E67)),"Otras ISO",IF(ISNUMBER(SEARCH("SCRUM",E67)),"SCRUM",IF(ISNUMBER(SEARCH("BRIDGE",E67)),"BRIDGE",IF(ISNUMBER(SEARCH("CDS",E67)),"CDS",IF(ISNUMBER(SEARCH("TOGAF",E67)),"TOGAF",IF(ISNUMBER(SEARCH("DPI",E67)),"DPI",IF(ISNUMBER(SEARCH("DITS",E67)),"DITS",IF(ISNUMBER(SEARCH("AGILE",E67)),"AGILE",IF(ISNUMBER(SEARCH("Ciberseguridad",E67)),"Ciberseguridad","Otros"))))))))))))))</f>
        <v/>
      </c>
      <c r="Q67" s="44" t="str">
        <f aca="false">IF(B67="","",IF(ISNUMBER(K67),IF(K67&lt;=3,"1-3 meses",IF(K67&lt;=6,"4-6 meses","+6 meses")),"Sin dato registrado"))</f>
        <v/>
      </c>
      <c r="R67" s="44" t="str">
        <f aca="false">IF(OR(B67="",M67=""),"",RANK(M67,$M$3:$M$306)+COUNTIF($M$3:M67,M67)-1)</f>
        <v/>
      </c>
    </row>
    <row r="68" customFormat="false" ht="15" hidden="true" customHeight="true" outlineLevel="0" collapsed="false">
      <c r="A68" s="49" t="n">
        <v>22</v>
      </c>
      <c r="C68" s="54"/>
      <c r="M68" s="44" t="str">
        <f aca="false">IF(B68="","",IF(ISNUMBER(I68),I68,IFERROR(VALUE(SUBSTITUTE(SUBSTITUTE(I68,"$",""),".","")),0)))</f>
        <v/>
      </c>
      <c r="N68" s="44" t="str">
        <f aca="false">IF(B68="","",PROPER(TRIM(D68)))</f>
        <v/>
      </c>
      <c r="O68" s="44" t="str">
        <f aca="false">IF(B68="","",IF(OR(ISNUMBER(SEARCH("AL DIA",L68)),ISNUMBER(SEARCH("AL DIA",F68))),"Al día",IF(OR(ISNUMBER(SEARCH("QUIETO",L68)),ISNUMBER(SEARCH("QUIETO",F68)),ISNUMBER(SEARCH("ESPERANDO",L68)),ISNUMBER(SEARCH("ESPERANDO",F68))),"Sin respuesta / Inactivo",IF(OR(ISNUMBER(SEARCH("PENDIENTE",L68)),ISNUMBER(SEARCH("PENDIENTE",F68)),ISNUMBER(SEARCH("COMPROMISO",F68)),ISNUMBER(SEARCH("COMPROMISO",L68)),ISNUMBER(SEARCH("PROCESO",F68)),ISNUMBER(SEARCH("LLAMAR",F68)),ISNUMBER(SEARCH("ABONO",J68)),EXACT(L68,"P"),EXACT(F68,"P")),"Pendiente / Compromiso","Sin gestionar"))))</f>
        <v/>
      </c>
      <c r="P68" s="44" t="str">
        <f aca="false">IF(B68="","",IF(E68="","Sin definir",IF(ISNUMBER(SEARCH("ITIL",E68)),"ITIL",IF(ISNUMBER(SEARCH("ISO 27001",E68)),"ISO 27001",IF(ISNUMBER(SEARCH("ISO 42001",E68)),"ISO 42001",IF(ISNUMBER(SEARCH("ISO",E68)),"Otras ISO",IF(ISNUMBER(SEARCH("SCRUM",E68)),"SCRUM",IF(ISNUMBER(SEARCH("BRIDGE",E68)),"BRIDGE",IF(ISNUMBER(SEARCH("CDS",E68)),"CDS",IF(ISNUMBER(SEARCH("TOGAF",E68)),"TOGAF",IF(ISNUMBER(SEARCH("DPI",E68)),"DPI",IF(ISNUMBER(SEARCH("DITS",E68)),"DITS",IF(ISNUMBER(SEARCH("AGILE",E68)),"AGILE",IF(ISNUMBER(SEARCH("Ciberseguridad",E68)),"Ciberseguridad","Otros"))))))))))))))</f>
        <v/>
      </c>
      <c r="Q68" s="44" t="str">
        <f aca="false">IF(B68="","",IF(ISNUMBER(K68),IF(K68&lt;=3,"1-3 meses",IF(K68&lt;=6,"4-6 meses","+6 meses")),"Sin dato registrado"))</f>
        <v/>
      </c>
      <c r="R68" s="44" t="str">
        <f aca="false">IF(OR(B68="",M68=""),"",RANK(M68,$M$3:$M$306)+COUNTIF($M$3:M68,M68)-1)</f>
        <v/>
      </c>
    </row>
    <row r="69" customFormat="false" ht="15" hidden="true" customHeight="true" outlineLevel="0" collapsed="false">
      <c r="A69" s="50" t="n">
        <v>22</v>
      </c>
      <c r="C69" s="54"/>
      <c r="M69" s="44" t="str">
        <f aca="false">IF(B69="","",IF(ISNUMBER(I69),I69,IFERROR(VALUE(SUBSTITUTE(SUBSTITUTE(I69,"$",""),".","")),0)))</f>
        <v/>
      </c>
      <c r="N69" s="44" t="str">
        <f aca="false">IF(B69="","",PROPER(TRIM(D69)))</f>
        <v/>
      </c>
      <c r="O69" s="44" t="str">
        <f aca="false">IF(B69="","",IF(OR(ISNUMBER(SEARCH("AL DIA",L69)),ISNUMBER(SEARCH("AL DIA",F69))),"Al día",IF(OR(ISNUMBER(SEARCH("QUIETO",L69)),ISNUMBER(SEARCH("QUIETO",F69)),ISNUMBER(SEARCH("ESPERANDO",L69)),ISNUMBER(SEARCH("ESPERANDO",F69))),"Sin respuesta / Inactivo",IF(OR(ISNUMBER(SEARCH("PENDIENTE",L69)),ISNUMBER(SEARCH("PENDIENTE",F69)),ISNUMBER(SEARCH("COMPROMISO",F69)),ISNUMBER(SEARCH("COMPROMISO",L69)),ISNUMBER(SEARCH("PROCESO",F69)),ISNUMBER(SEARCH("LLAMAR",F69)),ISNUMBER(SEARCH("ABONO",J69)),EXACT(L69,"P"),EXACT(F69,"P")),"Pendiente / Compromiso","Sin gestionar"))))</f>
        <v/>
      </c>
      <c r="P69" s="44" t="str">
        <f aca="false">IF(B69="","",IF(E69="","Sin definir",IF(ISNUMBER(SEARCH("ITIL",E69)),"ITIL",IF(ISNUMBER(SEARCH("ISO 27001",E69)),"ISO 27001",IF(ISNUMBER(SEARCH("ISO 42001",E69)),"ISO 42001",IF(ISNUMBER(SEARCH("ISO",E69)),"Otras ISO",IF(ISNUMBER(SEARCH("SCRUM",E69)),"SCRUM",IF(ISNUMBER(SEARCH("BRIDGE",E69)),"BRIDGE",IF(ISNUMBER(SEARCH("CDS",E69)),"CDS",IF(ISNUMBER(SEARCH("TOGAF",E69)),"TOGAF",IF(ISNUMBER(SEARCH("DPI",E69)),"DPI",IF(ISNUMBER(SEARCH("DITS",E69)),"DITS",IF(ISNUMBER(SEARCH("AGILE",E69)),"AGILE",IF(ISNUMBER(SEARCH("Ciberseguridad",E69)),"Ciberseguridad","Otros"))))))))))))))</f>
        <v/>
      </c>
      <c r="Q69" s="44" t="str">
        <f aca="false">IF(B69="","",IF(ISNUMBER(K69),IF(K69&lt;=3,"1-3 meses",IF(K69&lt;=6,"4-6 meses","+6 meses")),"Sin dato registrado"))</f>
        <v/>
      </c>
      <c r="R69" s="44" t="str">
        <f aca="false">IF(OR(B69="",M69=""),"",RANK(M69,$M$3:$M$306)+COUNTIF($M$3:M69,M69)-1)</f>
        <v/>
      </c>
    </row>
    <row r="70" customFormat="false" ht="15" hidden="true" customHeight="true" outlineLevel="0" collapsed="false">
      <c r="A70" s="49" t="n">
        <v>22</v>
      </c>
      <c r="C70" s="54"/>
      <c r="M70" s="44" t="str">
        <f aca="false">IF(B70="","",IF(ISNUMBER(I70),I70,IFERROR(VALUE(SUBSTITUTE(SUBSTITUTE(I70,"$",""),".","")),0)))</f>
        <v/>
      </c>
      <c r="N70" s="44" t="str">
        <f aca="false">IF(B70="","",PROPER(TRIM(D70)))</f>
        <v/>
      </c>
      <c r="O70" s="44" t="str">
        <f aca="false">IF(B70="","",IF(OR(ISNUMBER(SEARCH("AL DIA",L70)),ISNUMBER(SEARCH("AL DIA",F70))),"Al día",IF(OR(ISNUMBER(SEARCH("QUIETO",L70)),ISNUMBER(SEARCH("QUIETO",F70)),ISNUMBER(SEARCH("ESPERANDO",L70)),ISNUMBER(SEARCH("ESPERANDO",F70))),"Sin respuesta / Inactivo",IF(OR(ISNUMBER(SEARCH("PENDIENTE",L70)),ISNUMBER(SEARCH("PENDIENTE",F70)),ISNUMBER(SEARCH("COMPROMISO",F70)),ISNUMBER(SEARCH("COMPROMISO",L70)),ISNUMBER(SEARCH("PROCESO",F70)),ISNUMBER(SEARCH("LLAMAR",F70)),ISNUMBER(SEARCH("ABONO",J70)),EXACT(L70,"P"),EXACT(F70,"P")),"Pendiente / Compromiso","Sin gestionar"))))</f>
        <v/>
      </c>
      <c r="P70" s="44" t="str">
        <f aca="false">IF(B70="","",IF(E70="","Sin definir",IF(ISNUMBER(SEARCH("ITIL",E70)),"ITIL",IF(ISNUMBER(SEARCH("ISO 27001",E70)),"ISO 27001",IF(ISNUMBER(SEARCH("ISO 42001",E70)),"ISO 42001",IF(ISNUMBER(SEARCH("ISO",E70)),"Otras ISO",IF(ISNUMBER(SEARCH("SCRUM",E70)),"SCRUM",IF(ISNUMBER(SEARCH("BRIDGE",E70)),"BRIDGE",IF(ISNUMBER(SEARCH("CDS",E70)),"CDS",IF(ISNUMBER(SEARCH("TOGAF",E70)),"TOGAF",IF(ISNUMBER(SEARCH("DPI",E70)),"DPI",IF(ISNUMBER(SEARCH("DITS",E70)),"DITS",IF(ISNUMBER(SEARCH("AGILE",E70)),"AGILE",IF(ISNUMBER(SEARCH("Ciberseguridad",E70)),"Ciberseguridad","Otros"))))))))))))))</f>
        <v/>
      </c>
      <c r="Q70" s="44" t="str">
        <f aca="false">IF(B70="","",IF(ISNUMBER(K70),IF(K70&lt;=3,"1-3 meses",IF(K70&lt;=6,"4-6 meses","+6 meses")),"Sin dato registrado"))</f>
        <v/>
      </c>
      <c r="R70" s="44" t="str">
        <f aca="false">IF(OR(B70="",M70=""),"",RANK(M70,$M$3:$M$306)+COUNTIF($M$3:M70,M70)-1)</f>
        <v/>
      </c>
    </row>
    <row r="71" customFormat="false" ht="15" hidden="true" customHeight="true" outlineLevel="0" collapsed="false">
      <c r="A71" s="50" t="n">
        <v>22</v>
      </c>
      <c r="C71" s="54"/>
      <c r="M71" s="44" t="str">
        <f aca="false">IF(B71="","",IF(ISNUMBER(I71),I71,IFERROR(VALUE(SUBSTITUTE(SUBSTITUTE(I71,"$",""),".","")),0)))</f>
        <v/>
      </c>
      <c r="N71" s="44" t="str">
        <f aca="false">IF(B71="","",PROPER(TRIM(D71)))</f>
        <v/>
      </c>
      <c r="O71" s="44" t="str">
        <f aca="false">IF(B71="","",IF(OR(ISNUMBER(SEARCH("AL DIA",L71)),ISNUMBER(SEARCH("AL DIA",F71))),"Al día",IF(OR(ISNUMBER(SEARCH("QUIETO",L71)),ISNUMBER(SEARCH("QUIETO",F71)),ISNUMBER(SEARCH("ESPERANDO",L71)),ISNUMBER(SEARCH("ESPERANDO",F71))),"Sin respuesta / Inactivo",IF(OR(ISNUMBER(SEARCH("PENDIENTE",L71)),ISNUMBER(SEARCH("PENDIENTE",F71)),ISNUMBER(SEARCH("COMPROMISO",F71)),ISNUMBER(SEARCH("COMPROMISO",L71)),ISNUMBER(SEARCH("PROCESO",F71)),ISNUMBER(SEARCH("LLAMAR",F71)),ISNUMBER(SEARCH("ABONO",J71)),EXACT(L71,"P"),EXACT(F71,"P")),"Pendiente / Compromiso","Sin gestionar"))))</f>
        <v/>
      </c>
      <c r="P71" s="44" t="str">
        <f aca="false">IF(B71="","",IF(E71="","Sin definir",IF(ISNUMBER(SEARCH("ITIL",E71)),"ITIL",IF(ISNUMBER(SEARCH("ISO 27001",E71)),"ISO 27001",IF(ISNUMBER(SEARCH("ISO 42001",E71)),"ISO 42001",IF(ISNUMBER(SEARCH("ISO",E71)),"Otras ISO",IF(ISNUMBER(SEARCH("SCRUM",E71)),"SCRUM",IF(ISNUMBER(SEARCH("BRIDGE",E71)),"BRIDGE",IF(ISNUMBER(SEARCH("CDS",E71)),"CDS",IF(ISNUMBER(SEARCH("TOGAF",E71)),"TOGAF",IF(ISNUMBER(SEARCH("DPI",E71)),"DPI",IF(ISNUMBER(SEARCH("DITS",E71)),"DITS",IF(ISNUMBER(SEARCH("AGILE",E71)),"AGILE",IF(ISNUMBER(SEARCH("Ciberseguridad",E71)),"Ciberseguridad","Otros"))))))))))))))</f>
        <v/>
      </c>
      <c r="Q71" s="44" t="str">
        <f aca="false">IF(B71="","",IF(ISNUMBER(K71),IF(K71&lt;=3,"1-3 meses",IF(K71&lt;=6,"4-6 meses","+6 meses")),"Sin dato registrado"))</f>
        <v/>
      </c>
      <c r="R71" s="44" t="str">
        <f aca="false">IF(OR(B71="",M71=""),"",RANK(M71,$M$3:$M$306)+COUNTIF($M$3:M71,M71)-1)</f>
        <v/>
      </c>
    </row>
    <row r="72" customFormat="false" ht="15" hidden="true" customHeight="true" outlineLevel="0" collapsed="false">
      <c r="A72" s="49" t="n">
        <v>22</v>
      </c>
      <c r="C72" s="54"/>
      <c r="M72" s="44" t="str">
        <f aca="false">IF(B72="","",IF(ISNUMBER(I72),I72,IFERROR(VALUE(SUBSTITUTE(SUBSTITUTE(I72,"$",""),".","")),0)))</f>
        <v/>
      </c>
      <c r="N72" s="44" t="str">
        <f aca="false">IF(B72="","",PROPER(TRIM(D72)))</f>
        <v/>
      </c>
      <c r="O72" s="44" t="str">
        <f aca="false">IF(B72="","",IF(OR(ISNUMBER(SEARCH("AL DIA",L72)),ISNUMBER(SEARCH("AL DIA",F72))),"Al día",IF(OR(ISNUMBER(SEARCH("QUIETO",L72)),ISNUMBER(SEARCH("QUIETO",F72)),ISNUMBER(SEARCH("ESPERANDO",L72)),ISNUMBER(SEARCH("ESPERANDO",F72))),"Sin respuesta / Inactivo",IF(OR(ISNUMBER(SEARCH("PENDIENTE",L72)),ISNUMBER(SEARCH("PENDIENTE",F72)),ISNUMBER(SEARCH("COMPROMISO",F72)),ISNUMBER(SEARCH("COMPROMISO",L72)),ISNUMBER(SEARCH("PROCESO",F72)),ISNUMBER(SEARCH("LLAMAR",F72)),ISNUMBER(SEARCH("ABONO",J72)),EXACT(L72,"P"),EXACT(F72,"P")),"Pendiente / Compromiso","Sin gestionar"))))</f>
        <v/>
      </c>
      <c r="P72" s="44" t="str">
        <f aca="false">IF(B72="","",IF(E72="","Sin definir",IF(ISNUMBER(SEARCH("ITIL",E72)),"ITIL",IF(ISNUMBER(SEARCH("ISO 27001",E72)),"ISO 27001",IF(ISNUMBER(SEARCH("ISO 42001",E72)),"ISO 42001",IF(ISNUMBER(SEARCH("ISO",E72)),"Otras ISO",IF(ISNUMBER(SEARCH("SCRUM",E72)),"SCRUM",IF(ISNUMBER(SEARCH("BRIDGE",E72)),"BRIDGE",IF(ISNUMBER(SEARCH("CDS",E72)),"CDS",IF(ISNUMBER(SEARCH("TOGAF",E72)),"TOGAF",IF(ISNUMBER(SEARCH("DPI",E72)),"DPI",IF(ISNUMBER(SEARCH("DITS",E72)),"DITS",IF(ISNUMBER(SEARCH("AGILE",E72)),"AGILE",IF(ISNUMBER(SEARCH("Ciberseguridad",E72)),"Ciberseguridad","Otros"))))))))))))))</f>
        <v/>
      </c>
      <c r="Q72" s="44" t="str">
        <f aca="false">IF(B72="","",IF(ISNUMBER(K72),IF(K72&lt;=3,"1-3 meses",IF(K72&lt;=6,"4-6 meses","+6 meses")),"Sin dato registrado"))</f>
        <v/>
      </c>
      <c r="R72" s="44" t="str">
        <f aca="false">IF(OR(B72="",M72=""),"",RANK(M72,$M$3:$M$306)+COUNTIF($M$3:M72,M72)-1)</f>
        <v/>
      </c>
    </row>
    <row r="73" customFormat="false" ht="15" hidden="true" customHeight="true" outlineLevel="0" collapsed="false">
      <c r="A73" s="50" t="n">
        <v>22</v>
      </c>
      <c r="C73" s="54"/>
      <c r="M73" s="44" t="str">
        <f aca="false">IF(B73="","",IF(ISNUMBER(I73),I73,IFERROR(VALUE(SUBSTITUTE(SUBSTITUTE(I73,"$",""),".","")),0)))</f>
        <v/>
      </c>
      <c r="N73" s="44" t="str">
        <f aca="false">IF(B73="","",PROPER(TRIM(D73)))</f>
        <v/>
      </c>
      <c r="O73" s="44" t="str">
        <f aca="false">IF(B73="","",IF(OR(ISNUMBER(SEARCH("AL DIA",L73)),ISNUMBER(SEARCH("AL DIA",F73))),"Al día",IF(OR(ISNUMBER(SEARCH("QUIETO",L73)),ISNUMBER(SEARCH("QUIETO",F73)),ISNUMBER(SEARCH("ESPERANDO",L73)),ISNUMBER(SEARCH("ESPERANDO",F73))),"Sin respuesta / Inactivo",IF(OR(ISNUMBER(SEARCH("PENDIENTE",L73)),ISNUMBER(SEARCH("PENDIENTE",F73)),ISNUMBER(SEARCH("COMPROMISO",F73)),ISNUMBER(SEARCH("COMPROMISO",L73)),ISNUMBER(SEARCH("PROCESO",F73)),ISNUMBER(SEARCH("LLAMAR",F73)),ISNUMBER(SEARCH("ABONO",J73)),EXACT(L73,"P"),EXACT(F73,"P")),"Pendiente / Compromiso","Sin gestionar"))))</f>
        <v/>
      </c>
      <c r="P73" s="44" t="str">
        <f aca="false">IF(B73="","",IF(E73="","Sin definir",IF(ISNUMBER(SEARCH("ITIL",E73)),"ITIL",IF(ISNUMBER(SEARCH("ISO 27001",E73)),"ISO 27001",IF(ISNUMBER(SEARCH("ISO 42001",E73)),"ISO 42001",IF(ISNUMBER(SEARCH("ISO",E73)),"Otras ISO",IF(ISNUMBER(SEARCH("SCRUM",E73)),"SCRUM",IF(ISNUMBER(SEARCH("BRIDGE",E73)),"BRIDGE",IF(ISNUMBER(SEARCH("CDS",E73)),"CDS",IF(ISNUMBER(SEARCH("TOGAF",E73)),"TOGAF",IF(ISNUMBER(SEARCH("DPI",E73)),"DPI",IF(ISNUMBER(SEARCH("DITS",E73)),"DITS",IF(ISNUMBER(SEARCH("AGILE",E73)),"AGILE",IF(ISNUMBER(SEARCH("Ciberseguridad",E73)),"Ciberseguridad","Otros"))))))))))))))</f>
        <v/>
      </c>
      <c r="Q73" s="44" t="str">
        <f aca="false">IF(B73="","",IF(ISNUMBER(K73),IF(K73&lt;=3,"1-3 meses",IF(K73&lt;=6,"4-6 meses","+6 meses")),"Sin dato registrado"))</f>
        <v/>
      </c>
      <c r="R73" s="44" t="str">
        <f aca="false">IF(OR(B73="",M73=""),"",RANK(M73,$M$3:$M$306)+COUNTIF($M$3:M73,M73)-1)</f>
        <v/>
      </c>
    </row>
    <row r="74" customFormat="false" ht="15" hidden="true" customHeight="true" outlineLevel="0" collapsed="false">
      <c r="A74" s="49" t="n">
        <v>22</v>
      </c>
      <c r="C74" s="54"/>
      <c r="M74" s="44" t="str">
        <f aca="false">IF(B74="","",IF(ISNUMBER(I74),I74,IFERROR(VALUE(SUBSTITUTE(SUBSTITUTE(I74,"$",""),".","")),0)))</f>
        <v/>
      </c>
      <c r="N74" s="44" t="str">
        <f aca="false">IF(B74="","",PROPER(TRIM(D74)))</f>
        <v/>
      </c>
      <c r="O74" s="44" t="str">
        <f aca="false">IF(B74="","",IF(OR(ISNUMBER(SEARCH("AL DIA",L74)),ISNUMBER(SEARCH("AL DIA",F74))),"Al día",IF(OR(ISNUMBER(SEARCH("QUIETO",L74)),ISNUMBER(SEARCH("QUIETO",F74)),ISNUMBER(SEARCH("ESPERANDO",L74)),ISNUMBER(SEARCH("ESPERANDO",F74))),"Sin respuesta / Inactivo",IF(OR(ISNUMBER(SEARCH("PENDIENTE",L74)),ISNUMBER(SEARCH("PENDIENTE",F74)),ISNUMBER(SEARCH("COMPROMISO",F74)),ISNUMBER(SEARCH("COMPROMISO",L74)),ISNUMBER(SEARCH("PROCESO",F74)),ISNUMBER(SEARCH("LLAMAR",F74)),ISNUMBER(SEARCH("ABONO",J74)),EXACT(L74,"P"),EXACT(F74,"P")),"Pendiente / Compromiso","Sin gestionar"))))</f>
        <v/>
      </c>
      <c r="P74" s="44" t="str">
        <f aca="false">IF(B74="","",IF(E74="","Sin definir",IF(ISNUMBER(SEARCH("ITIL",E74)),"ITIL",IF(ISNUMBER(SEARCH("ISO 27001",E74)),"ISO 27001",IF(ISNUMBER(SEARCH("ISO 42001",E74)),"ISO 42001",IF(ISNUMBER(SEARCH("ISO",E74)),"Otras ISO",IF(ISNUMBER(SEARCH("SCRUM",E74)),"SCRUM",IF(ISNUMBER(SEARCH("BRIDGE",E74)),"BRIDGE",IF(ISNUMBER(SEARCH("CDS",E74)),"CDS",IF(ISNUMBER(SEARCH("TOGAF",E74)),"TOGAF",IF(ISNUMBER(SEARCH("DPI",E74)),"DPI",IF(ISNUMBER(SEARCH("DITS",E74)),"DITS",IF(ISNUMBER(SEARCH("AGILE",E74)),"AGILE",IF(ISNUMBER(SEARCH("Ciberseguridad",E74)),"Ciberseguridad","Otros"))))))))))))))</f>
        <v/>
      </c>
      <c r="Q74" s="44" t="str">
        <f aca="false">IF(B74="","",IF(ISNUMBER(K74),IF(K74&lt;=3,"1-3 meses",IF(K74&lt;=6,"4-6 meses","+6 meses")),"Sin dato registrado"))</f>
        <v/>
      </c>
      <c r="R74" s="44" t="str">
        <f aca="false">IF(OR(B74="",M74=""),"",RANK(M74,$M$3:$M$306)+COUNTIF($M$3:M74,M74)-1)</f>
        <v/>
      </c>
    </row>
    <row r="75" customFormat="false" ht="15" hidden="true" customHeight="true" outlineLevel="0" collapsed="false">
      <c r="A75" s="50" t="n">
        <v>22</v>
      </c>
      <c r="C75" s="54"/>
      <c r="M75" s="44" t="str">
        <f aca="false">IF(B75="","",IF(ISNUMBER(I75),I75,IFERROR(VALUE(SUBSTITUTE(SUBSTITUTE(I75,"$",""),".","")),0)))</f>
        <v/>
      </c>
      <c r="N75" s="44" t="str">
        <f aca="false">IF(B75="","",PROPER(TRIM(D75)))</f>
        <v/>
      </c>
      <c r="O75" s="44" t="str">
        <f aca="false">IF(B75="","",IF(OR(ISNUMBER(SEARCH("AL DIA",L75)),ISNUMBER(SEARCH("AL DIA",F75))),"Al día",IF(OR(ISNUMBER(SEARCH("QUIETO",L75)),ISNUMBER(SEARCH("QUIETO",F75)),ISNUMBER(SEARCH("ESPERANDO",L75)),ISNUMBER(SEARCH("ESPERANDO",F75))),"Sin respuesta / Inactivo",IF(OR(ISNUMBER(SEARCH("PENDIENTE",L75)),ISNUMBER(SEARCH("PENDIENTE",F75)),ISNUMBER(SEARCH("COMPROMISO",F75)),ISNUMBER(SEARCH("COMPROMISO",L75)),ISNUMBER(SEARCH("PROCESO",F75)),ISNUMBER(SEARCH("LLAMAR",F75)),ISNUMBER(SEARCH("ABONO",J75)),EXACT(L75,"P"),EXACT(F75,"P")),"Pendiente / Compromiso","Sin gestionar"))))</f>
        <v/>
      </c>
      <c r="P75" s="44" t="str">
        <f aca="false">IF(B75="","",IF(E75="","Sin definir",IF(ISNUMBER(SEARCH("ITIL",E75)),"ITIL",IF(ISNUMBER(SEARCH("ISO 27001",E75)),"ISO 27001",IF(ISNUMBER(SEARCH("ISO 42001",E75)),"ISO 42001",IF(ISNUMBER(SEARCH("ISO",E75)),"Otras ISO",IF(ISNUMBER(SEARCH("SCRUM",E75)),"SCRUM",IF(ISNUMBER(SEARCH("BRIDGE",E75)),"BRIDGE",IF(ISNUMBER(SEARCH("CDS",E75)),"CDS",IF(ISNUMBER(SEARCH("TOGAF",E75)),"TOGAF",IF(ISNUMBER(SEARCH("DPI",E75)),"DPI",IF(ISNUMBER(SEARCH("DITS",E75)),"DITS",IF(ISNUMBER(SEARCH("AGILE",E75)),"AGILE",IF(ISNUMBER(SEARCH("Ciberseguridad",E75)),"Ciberseguridad","Otros"))))))))))))))</f>
        <v/>
      </c>
      <c r="Q75" s="44" t="str">
        <f aca="false">IF(B75="","",IF(ISNUMBER(K75),IF(K75&lt;=3,"1-3 meses",IF(K75&lt;=6,"4-6 meses","+6 meses")),"Sin dato registrado"))</f>
        <v/>
      </c>
      <c r="R75" s="44" t="str">
        <f aca="false">IF(OR(B75="",M75=""),"",RANK(M75,$M$3:$M$306)+COUNTIF($M$3:M75,M75)-1)</f>
        <v/>
      </c>
    </row>
    <row r="76" customFormat="false" ht="15" hidden="true" customHeight="true" outlineLevel="0" collapsed="false">
      <c r="A76" s="49" t="n">
        <v>22</v>
      </c>
      <c r="C76" s="54"/>
      <c r="M76" s="44" t="str">
        <f aca="false">IF(B76="","",IF(ISNUMBER(I76),I76,IFERROR(VALUE(SUBSTITUTE(SUBSTITUTE(I76,"$",""),".","")),0)))</f>
        <v/>
      </c>
      <c r="N76" s="44" t="str">
        <f aca="false">IF(B76="","",PROPER(TRIM(D76)))</f>
        <v/>
      </c>
      <c r="O76" s="44" t="str">
        <f aca="false">IF(B76="","",IF(OR(ISNUMBER(SEARCH("AL DIA",L76)),ISNUMBER(SEARCH("AL DIA",F76))),"Al día",IF(OR(ISNUMBER(SEARCH("QUIETO",L76)),ISNUMBER(SEARCH("QUIETO",F76)),ISNUMBER(SEARCH("ESPERANDO",L76)),ISNUMBER(SEARCH("ESPERANDO",F76))),"Sin respuesta / Inactivo",IF(OR(ISNUMBER(SEARCH("PENDIENTE",L76)),ISNUMBER(SEARCH("PENDIENTE",F76)),ISNUMBER(SEARCH("COMPROMISO",F76)),ISNUMBER(SEARCH("COMPROMISO",L76)),ISNUMBER(SEARCH("PROCESO",F76)),ISNUMBER(SEARCH("LLAMAR",F76)),ISNUMBER(SEARCH("ABONO",J76)),EXACT(L76,"P"),EXACT(F76,"P")),"Pendiente / Compromiso","Sin gestionar"))))</f>
        <v/>
      </c>
      <c r="P76" s="44" t="str">
        <f aca="false">IF(B76="","",IF(E76="","Sin definir",IF(ISNUMBER(SEARCH("ITIL",E76)),"ITIL",IF(ISNUMBER(SEARCH("ISO 27001",E76)),"ISO 27001",IF(ISNUMBER(SEARCH("ISO 42001",E76)),"ISO 42001",IF(ISNUMBER(SEARCH("ISO",E76)),"Otras ISO",IF(ISNUMBER(SEARCH("SCRUM",E76)),"SCRUM",IF(ISNUMBER(SEARCH("BRIDGE",E76)),"BRIDGE",IF(ISNUMBER(SEARCH("CDS",E76)),"CDS",IF(ISNUMBER(SEARCH("TOGAF",E76)),"TOGAF",IF(ISNUMBER(SEARCH("DPI",E76)),"DPI",IF(ISNUMBER(SEARCH("DITS",E76)),"DITS",IF(ISNUMBER(SEARCH("AGILE",E76)),"AGILE",IF(ISNUMBER(SEARCH("Ciberseguridad",E76)),"Ciberseguridad","Otros"))))))))))))))</f>
        <v/>
      </c>
      <c r="Q76" s="44" t="str">
        <f aca="false">IF(B76="","",IF(ISNUMBER(K76),IF(K76&lt;=3,"1-3 meses",IF(K76&lt;=6,"4-6 meses","+6 meses")),"Sin dato registrado"))</f>
        <v/>
      </c>
      <c r="R76" s="44" t="str">
        <f aca="false">IF(OR(B76="",M76=""),"",RANK(M76,$M$3:$M$306)+COUNTIF($M$3:M76,M76)-1)</f>
        <v/>
      </c>
    </row>
    <row r="77" customFormat="false" ht="15" hidden="true" customHeight="true" outlineLevel="0" collapsed="false">
      <c r="A77" s="50" t="n">
        <v>22</v>
      </c>
      <c r="C77" s="54"/>
      <c r="M77" s="44" t="str">
        <f aca="false">IF(B77="","",IF(ISNUMBER(I77),I77,IFERROR(VALUE(SUBSTITUTE(SUBSTITUTE(I77,"$",""),".","")),0)))</f>
        <v/>
      </c>
      <c r="N77" s="44" t="str">
        <f aca="false">IF(B77="","",PROPER(TRIM(D77)))</f>
        <v/>
      </c>
      <c r="O77" s="44" t="str">
        <f aca="false">IF(B77="","",IF(OR(ISNUMBER(SEARCH("AL DIA",L77)),ISNUMBER(SEARCH("AL DIA",F77))),"Al día",IF(OR(ISNUMBER(SEARCH("QUIETO",L77)),ISNUMBER(SEARCH("QUIETO",F77)),ISNUMBER(SEARCH("ESPERANDO",L77)),ISNUMBER(SEARCH("ESPERANDO",F77))),"Sin respuesta / Inactivo",IF(OR(ISNUMBER(SEARCH("PENDIENTE",L77)),ISNUMBER(SEARCH("PENDIENTE",F77)),ISNUMBER(SEARCH("COMPROMISO",F77)),ISNUMBER(SEARCH("COMPROMISO",L77)),ISNUMBER(SEARCH("PROCESO",F77)),ISNUMBER(SEARCH("LLAMAR",F77)),ISNUMBER(SEARCH("ABONO",J77)),EXACT(L77,"P"),EXACT(F77,"P")),"Pendiente / Compromiso","Sin gestionar"))))</f>
        <v/>
      </c>
      <c r="P77" s="44" t="str">
        <f aca="false">IF(B77="","",IF(E77="","Sin definir",IF(ISNUMBER(SEARCH("ITIL",E77)),"ITIL",IF(ISNUMBER(SEARCH("ISO 27001",E77)),"ISO 27001",IF(ISNUMBER(SEARCH("ISO 42001",E77)),"ISO 42001",IF(ISNUMBER(SEARCH("ISO",E77)),"Otras ISO",IF(ISNUMBER(SEARCH("SCRUM",E77)),"SCRUM",IF(ISNUMBER(SEARCH("BRIDGE",E77)),"BRIDGE",IF(ISNUMBER(SEARCH("CDS",E77)),"CDS",IF(ISNUMBER(SEARCH("TOGAF",E77)),"TOGAF",IF(ISNUMBER(SEARCH("DPI",E77)),"DPI",IF(ISNUMBER(SEARCH("DITS",E77)),"DITS",IF(ISNUMBER(SEARCH("AGILE",E77)),"AGILE",IF(ISNUMBER(SEARCH("Ciberseguridad",E77)),"Ciberseguridad","Otros"))))))))))))))</f>
        <v/>
      </c>
      <c r="Q77" s="44" t="str">
        <f aca="false">IF(B77="","",IF(ISNUMBER(K77),IF(K77&lt;=3,"1-3 meses",IF(K77&lt;=6,"4-6 meses","+6 meses")),"Sin dato registrado"))</f>
        <v/>
      </c>
      <c r="R77" s="44" t="str">
        <f aca="false">IF(OR(B77="",M77=""),"",RANK(M77,$M$3:$M$306)+COUNTIF($M$3:M77,M77)-1)</f>
        <v/>
      </c>
    </row>
    <row r="78" customFormat="false" ht="15" hidden="true" customHeight="true" outlineLevel="0" collapsed="false">
      <c r="A78" s="49" t="n">
        <v>22</v>
      </c>
      <c r="C78" s="54"/>
      <c r="M78" s="44" t="str">
        <f aca="false">IF(B78="","",IF(ISNUMBER(I78),I78,IFERROR(VALUE(SUBSTITUTE(SUBSTITUTE(I78,"$",""),".","")),0)))</f>
        <v/>
      </c>
      <c r="N78" s="44" t="str">
        <f aca="false">IF(B78="","",PROPER(TRIM(D78)))</f>
        <v/>
      </c>
      <c r="O78" s="44" t="str">
        <f aca="false">IF(B78="","",IF(OR(ISNUMBER(SEARCH("AL DIA",L78)),ISNUMBER(SEARCH("AL DIA",F78))),"Al día",IF(OR(ISNUMBER(SEARCH("QUIETO",L78)),ISNUMBER(SEARCH("QUIETO",F78)),ISNUMBER(SEARCH("ESPERANDO",L78)),ISNUMBER(SEARCH("ESPERANDO",F78))),"Sin respuesta / Inactivo",IF(OR(ISNUMBER(SEARCH("PENDIENTE",L78)),ISNUMBER(SEARCH("PENDIENTE",F78)),ISNUMBER(SEARCH("COMPROMISO",F78)),ISNUMBER(SEARCH("COMPROMISO",L78)),ISNUMBER(SEARCH("PROCESO",F78)),ISNUMBER(SEARCH("LLAMAR",F78)),ISNUMBER(SEARCH("ABONO",J78)),EXACT(L78,"P"),EXACT(F78,"P")),"Pendiente / Compromiso","Sin gestionar"))))</f>
        <v/>
      </c>
      <c r="P78" s="44" t="str">
        <f aca="false">IF(B78="","",IF(E78="","Sin definir",IF(ISNUMBER(SEARCH("ITIL",E78)),"ITIL",IF(ISNUMBER(SEARCH("ISO 27001",E78)),"ISO 27001",IF(ISNUMBER(SEARCH("ISO 42001",E78)),"ISO 42001",IF(ISNUMBER(SEARCH("ISO",E78)),"Otras ISO",IF(ISNUMBER(SEARCH("SCRUM",E78)),"SCRUM",IF(ISNUMBER(SEARCH("BRIDGE",E78)),"BRIDGE",IF(ISNUMBER(SEARCH("CDS",E78)),"CDS",IF(ISNUMBER(SEARCH("TOGAF",E78)),"TOGAF",IF(ISNUMBER(SEARCH("DPI",E78)),"DPI",IF(ISNUMBER(SEARCH("DITS",E78)),"DITS",IF(ISNUMBER(SEARCH("AGILE",E78)),"AGILE",IF(ISNUMBER(SEARCH("Ciberseguridad",E78)),"Ciberseguridad","Otros"))))))))))))))</f>
        <v/>
      </c>
      <c r="Q78" s="44" t="str">
        <f aca="false">IF(B78="","",IF(ISNUMBER(K78),IF(K78&lt;=3,"1-3 meses",IF(K78&lt;=6,"4-6 meses","+6 meses")),"Sin dato registrado"))</f>
        <v/>
      </c>
      <c r="R78" s="44" t="str">
        <f aca="false">IF(OR(B78="",M78=""),"",RANK(M78,$M$3:$M$306)+COUNTIF($M$3:M78,M78)-1)</f>
        <v/>
      </c>
    </row>
    <row r="79" customFormat="false" ht="15" hidden="true" customHeight="true" outlineLevel="0" collapsed="false">
      <c r="A79" s="50" t="n">
        <v>22</v>
      </c>
      <c r="C79" s="54"/>
      <c r="M79" s="44" t="str">
        <f aca="false">IF(B79="","",IF(ISNUMBER(I79),I79,IFERROR(VALUE(SUBSTITUTE(SUBSTITUTE(I79,"$",""),".","")),0)))</f>
        <v/>
      </c>
      <c r="N79" s="44" t="str">
        <f aca="false">IF(B79="","",PROPER(TRIM(D79)))</f>
        <v/>
      </c>
      <c r="O79" s="44" t="str">
        <f aca="false">IF(B79="","",IF(OR(ISNUMBER(SEARCH("AL DIA",L79)),ISNUMBER(SEARCH("AL DIA",F79))),"Al día",IF(OR(ISNUMBER(SEARCH("QUIETO",L79)),ISNUMBER(SEARCH("QUIETO",F79)),ISNUMBER(SEARCH("ESPERANDO",L79)),ISNUMBER(SEARCH("ESPERANDO",F79))),"Sin respuesta / Inactivo",IF(OR(ISNUMBER(SEARCH("PENDIENTE",L79)),ISNUMBER(SEARCH("PENDIENTE",F79)),ISNUMBER(SEARCH("COMPROMISO",F79)),ISNUMBER(SEARCH("COMPROMISO",L79)),ISNUMBER(SEARCH("PROCESO",F79)),ISNUMBER(SEARCH("LLAMAR",F79)),ISNUMBER(SEARCH("ABONO",J79)),EXACT(L79,"P"),EXACT(F79,"P")),"Pendiente / Compromiso","Sin gestionar"))))</f>
        <v/>
      </c>
      <c r="P79" s="44" t="str">
        <f aca="false">IF(B79="","",IF(E79="","Sin definir",IF(ISNUMBER(SEARCH("ITIL",E79)),"ITIL",IF(ISNUMBER(SEARCH("ISO 27001",E79)),"ISO 27001",IF(ISNUMBER(SEARCH("ISO 42001",E79)),"ISO 42001",IF(ISNUMBER(SEARCH("ISO",E79)),"Otras ISO",IF(ISNUMBER(SEARCH("SCRUM",E79)),"SCRUM",IF(ISNUMBER(SEARCH("BRIDGE",E79)),"BRIDGE",IF(ISNUMBER(SEARCH("CDS",E79)),"CDS",IF(ISNUMBER(SEARCH("TOGAF",E79)),"TOGAF",IF(ISNUMBER(SEARCH("DPI",E79)),"DPI",IF(ISNUMBER(SEARCH("DITS",E79)),"DITS",IF(ISNUMBER(SEARCH("AGILE",E79)),"AGILE",IF(ISNUMBER(SEARCH("Ciberseguridad",E79)),"Ciberseguridad","Otros"))))))))))))))</f>
        <v/>
      </c>
      <c r="Q79" s="44" t="str">
        <f aca="false">IF(B79="","",IF(ISNUMBER(K79),IF(K79&lt;=3,"1-3 meses",IF(K79&lt;=6,"4-6 meses","+6 meses")),"Sin dato registrado"))</f>
        <v/>
      </c>
      <c r="R79" s="44" t="str">
        <f aca="false">IF(OR(B79="",M79=""),"",RANK(M79,$M$3:$M$306)+COUNTIF($M$3:M79,M79)-1)</f>
        <v/>
      </c>
    </row>
    <row r="80" customFormat="false" ht="15" hidden="true" customHeight="true" outlineLevel="0" collapsed="false">
      <c r="A80" s="49" t="n">
        <v>22</v>
      </c>
      <c r="C80" s="54"/>
      <c r="M80" s="44" t="str">
        <f aca="false">IF(B80="","",IF(ISNUMBER(I80),I80,IFERROR(VALUE(SUBSTITUTE(SUBSTITUTE(I80,"$",""),".","")),0)))</f>
        <v/>
      </c>
      <c r="N80" s="44" t="str">
        <f aca="false">IF(B80="","",PROPER(TRIM(D80)))</f>
        <v/>
      </c>
      <c r="O80" s="44" t="str">
        <f aca="false">IF(B80="","",IF(OR(ISNUMBER(SEARCH("AL DIA",L80)),ISNUMBER(SEARCH("AL DIA",F80))),"Al día",IF(OR(ISNUMBER(SEARCH("QUIETO",L80)),ISNUMBER(SEARCH("QUIETO",F80)),ISNUMBER(SEARCH("ESPERANDO",L80)),ISNUMBER(SEARCH("ESPERANDO",F80))),"Sin respuesta / Inactivo",IF(OR(ISNUMBER(SEARCH("PENDIENTE",L80)),ISNUMBER(SEARCH("PENDIENTE",F80)),ISNUMBER(SEARCH("COMPROMISO",F80)),ISNUMBER(SEARCH("COMPROMISO",L80)),ISNUMBER(SEARCH("PROCESO",F80)),ISNUMBER(SEARCH("LLAMAR",F80)),ISNUMBER(SEARCH("ABONO",J80)),EXACT(L80,"P"),EXACT(F80,"P")),"Pendiente / Compromiso","Sin gestionar"))))</f>
        <v/>
      </c>
      <c r="P80" s="44" t="str">
        <f aca="false">IF(B80="","",IF(E80="","Sin definir",IF(ISNUMBER(SEARCH("ITIL",E80)),"ITIL",IF(ISNUMBER(SEARCH("ISO 27001",E80)),"ISO 27001",IF(ISNUMBER(SEARCH("ISO 42001",E80)),"ISO 42001",IF(ISNUMBER(SEARCH("ISO",E80)),"Otras ISO",IF(ISNUMBER(SEARCH("SCRUM",E80)),"SCRUM",IF(ISNUMBER(SEARCH("BRIDGE",E80)),"BRIDGE",IF(ISNUMBER(SEARCH("CDS",E80)),"CDS",IF(ISNUMBER(SEARCH("TOGAF",E80)),"TOGAF",IF(ISNUMBER(SEARCH("DPI",E80)),"DPI",IF(ISNUMBER(SEARCH("DITS",E80)),"DITS",IF(ISNUMBER(SEARCH("AGILE",E80)),"AGILE",IF(ISNUMBER(SEARCH("Ciberseguridad",E80)),"Ciberseguridad","Otros"))))))))))))))</f>
        <v/>
      </c>
      <c r="Q80" s="44" t="str">
        <f aca="false">IF(B80="","",IF(ISNUMBER(K80),IF(K80&lt;=3,"1-3 meses",IF(K80&lt;=6,"4-6 meses","+6 meses")),"Sin dato registrado"))</f>
        <v/>
      </c>
      <c r="R80" s="44" t="str">
        <f aca="false">IF(OR(B80="",M80=""),"",RANK(M80,$M$3:$M$306)+COUNTIF($M$3:M80,M80)-1)</f>
        <v/>
      </c>
    </row>
    <row r="81" customFormat="false" ht="15" hidden="true" customHeight="true" outlineLevel="0" collapsed="false">
      <c r="A81" s="50" t="n">
        <v>22</v>
      </c>
      <c r="C81" s="54"/>
      <c r="M81" s="44" t="str">
        <f aca="false">IF(B81="","",IF(ISNUMBER(I81),I81,IFERROR(VALUE(SUBSTITUTE(SUBSTITUTE(I81,"$",""),".","")),0)))</f>
        <v/>
      </c>
      <c r="N81" s="44" t="str">
        <f aca="false">IF(B81="","",PROPER(TRIM(D81)))</f>
        <v/>
      </c>
      <c r="O81" s="44" t="str">
        <f aca="false">IF(B81="","",IF(OR(ISNUMBER(SEARCH("AL DIA",L81)),ISNUMBER(SEARCH("AL DIA",F81))),"Al día",IF(OR(ISNUMBER(SEARCH("QUIETO",L81)),ISNUMBER(SEARCH("QUIETO",F81)),ISNUMBER(SEARCH("ESPERANDO",L81)),ISNUMBER(SEARCH("ESPERANDO",F81))),"Sin respuesta / Inactivo",IF(OR(ISNUMBER(SEARCH("PENDIENTE",L81)),ISNUMBER(SEARCH("PENDIENTE",F81)),ISNUMBER(SEARCH("COMPROMISO",F81)),ISNUMBER(SEARCH("COMPROMISO",L81)),ISNUMBER(SEARCH("PROCESO",F81)),ISNUMBER(SEARCH("LLAMAR",F81)),ISNUMBER(SEARCH("ABONO",J81)),EXACT(L81,"P"),EXACT(F81,"P")),"Pendiente / Compromiso","Sin gestionar"))))</f>
        <v/>
      </c>
      <c r="P81" s="44" t="str">
        <f aca="false">IF(B81="","",IF(E81="","Sin definir",IF(ISNUMBER(SEARCH("ITIL",E81)),"ITIL",IF(ISNUMBER(SEARCH("ISO 27001",E81)),"ISO 27001",IF(ISNUMBER(SEARCH("ISO 42001",E81)),"ISO 42001",IF(ISNUMBER(SEARCH("ISO",E81)),"Otras ISO",IF(ISNUMBER(SEARCH("SCRUM",E81)),"SCRUM",IF(ISNUMBER(SEARCH("BRIDGE",E81)),"BRIDGE",IF(ISNUMBER(SEARCH("CDS",E81)),"CDS",IF(ISNUMBER(SEARCH("TOGAF",E81)),"TOGAF",IF(ISNUMBER(SEARCH("DPI",E81)),"DPI",IF(ISNUMBER(SEARCH("DITS",E81)),"DITS",IF(ISNUMBER(SEARCH("AGILE",E81)),"AGILE",IF(ISNUMBER(SEARCH("Ciberseguridad",E81)),"Ciberseguridad","Otros"))))))))))))))</f>
        <v/>
      </c>
      <c r="Q81" s="44" t="str">
        <f aca="false">IF(B81="","",IF(ISNUMBER(K81),IF(K81&lt;=3,"1-3 meses",IF(K81&lt;=6,"4-6 meses","+6 meses")),"Sin dato registrado"))</f>
        <v/>
      </c>
      <c r="R81" s="44" t="str">
        <f aca="false">IF(OR(B81="",M81=""),"",RANK(M81,$M$3:$M$306)+COUNTIF($M$3:M81,M81)-1)</f>
        <v/>
      </c>
    </row>
    <row r="82" customFormat="false" ht="15" hidden="true" customHeight="true" outlineLevel="0" collapsed="false">
      <c r="A82" s="49" t="n">
        <v>22</v>
      </c>
      <c r="C82" s="54"/>
      <c r="M82" s="44" t="str">
        <f aca="false">IF(B82="","",IF(ISNUMBER(I82),I82,IFERROR(VALUE(SUBSTITUTE(SUBSTITUTE(I82,"$",""),".","")),0)))</f>
        <v/>
      </c>
      <c r="N82" s="44" t="str">
        <f aca="false">IF(B82="","",PROPER(TRIM(D82)))</f>
        <v/>
      </c>
      <c r="O82" s="44" t="str">
        <f aca="false">IF(B82="","",IF(OR(ISNUMBER(SEARCH("AL DIA",L82)),ISNUMBER(SEARCH("AL DIA",F82))),"Al día",IF(OR(ISNUMBER(SEARCH("QUIETO",L82)),ISNUMBER(SEARCH("QUIETO",F82)),ISNUMBER(SEARCH("ESPERANDO",L82)),ISNUMBER(SEARCH("ESPERANDO",F82))),"Sin respuesta / Inactivo",IF(OR(ISNUMBER(SEARCH("PENDIENTE",L82)),ISNUMBER(SEARCH("PENDIENTE",F82)),ISNUMBER(SEARCH("COMPROMISO",F82)),ISNUMBER(SEARCH("COMPROMISO",L82)),ISNUMBER(SEARCH("PROCESO",F82)),ISNUMBER(SEARCH("LLAMAR",F82)),ISNUMBER(SEARCH("ABONO",J82)),EXACT(L82,"P"),EXACT(F82,"P")),"Pendiente / Compromiso","Sin gestionar"))))</f>
        <v/>
      </c>
      <c r="P82" s="44" t="str">
        <f aca="false">IF(B82="","",IF(E82="","Sin definir",IF(ISNUMBER(SEARCH("ITIL",E82)),"ITIL",IF(ISNUMBER(SEARCH("ISO 27001",E82)),"ISO 27001",IF(ISNUMBER(SEARCH("ISO 42001",E82)),"ISO 42001",IF(ISNUMBER(SEARCH("ISO",E82)),"Otras ISO",IF(ISNUMBER(SEARCH("SCRUM",E82)),"SCRUM",IF(ISNUMBER(SEARCH("BRIDGE",E82)),"BRIDGE",IF(ISNUMBER(SEARCH("CDS",E82)),"CDS",IF(ISNUMBER(SEARCH("TOGAF",E82)),"TOGAF",IF(ISNUMBER(SEARCH("DPI",E82)),"DPI",IF(ISNUMBER(SEARCH("DITS",E82)),"DITS",IF(ISNUMBER(SEARCH("AGILE",E82)),"AGILE",IF(ISNUMBER(SEARCH("Ciberseguridad",E82)),"Ciberseguridad","Otros"))))))))))))))</f>
        <v/>
      </c>
      <c r="Q82" s="44" t="str">
        <f aca="false">IF(B82="","",IF(ISNUMBER(K82),IF(K82&lt;=3,"1-3 meses",IF(K82&lt;=6,"4-6 meses","+6 meses")),"Sin dato registrado"))</f>
        <v/>
      </c>
      <c r="R82" s="44" t="str">
        <f aca="false">IF(OR(B82="",M82=""),"",RANK(M82,$M$3:$M$306)+COUNTIF($M$3:M82,M82)-1)</f>
        <v/>
      </c>
    </row>
    <row r="83" customFormat="false" ht="15" hidden="true" customHeight="true" outlineLevel="0" collapsed="false">
      <c r="A83" s="50" t="n">
        <v>22</v>
      </c>
      <c r="C83" s="54"/>
      <c r="M83" s="44" t="str">
        <f aca="false">IF(B83="","",IF(ISNUMBER(I83),I83,IFERROR(VALUE(SUBSTITUTE(SUBSTITUTE(I83,"$",""),".","")),0)))</f>
        <v/>
      </c>
      <c r="N83" s="44" t="str">
        <f aca="false">IF(B83="","",PROPER(TRIM(D83)))</f>
        <v/>
      </c>
      <c r="O83" s="44" t="str">
        <f aca="false">IF(B83="","",IF(OR(ISNUMBER(SEARCH("AL DIA",L83)),ISNUMBER(SEARCH("AL DIA",F83))),"Al día",IF(OR(ISNUMBER(SEARCH("QUIETO",L83)),ISNUMBER(SEARCH("QUIETO",F83)),ISNUMBER(SEARCH("ESPERANDO",L83)),ISNUMBER(SEARCH("ESPERANDO",F83))),"Sin respuesta / Inactivo",IF(OR(ISNUMBER(SEARCH("PENDIENTE",L83)),ISNUMBER(SEARCH("PENDIENTE",F83)),ISNUMBER(SEARCH("COMPROMISO",F83)),ISNUMBER(SEARCH("COMPROMISO",L83)),ISNUMBER(SEARCH("PROCESO",F83)),ISNUMBER(SEARCH("LLAMAR",F83)),ISNUMBER(SEARCH("ABONO",J83)),EXACT(L83,"P"),EXACT(F83,"P")),"Pendiente / Compromiso","Sin gestionar"))))</f>
        <v/>
      </c>
      <c r="P83" s="44" t="str">
        <f aca="false">IF(B83="","",IF(E83="","Sin definir",IF(ISNUMBER(SEARCH("ITIL",E83)),"ITIL",IF(ISNUMBER(SEARCH("ISO 27001",E83)),"ISO 27001",IF(ISNUMBER(SEARCH("ISO 42001",E83)),"ISO 42001",IF(ISNUMBER(SEARCH("ISO",E83)),"Otras ISO",IF(ISNUMBER(SEARCH("SCRUM",E83)),"SCRUM",IF(ISNUMBER(SEARCH("BRIDGE",E83)),"BRIDGE",IF(ISNUMBER(SEARCH("CDS",E83)),"CDS",IF(ISNUMBER(SEARCH("TOGAF",E83)),"TOGAF",IF(ISNUMBER(SEARCH("DPI",E83)),"DPI",IF(ISNUMBER(SEARCH("DITS",E83)),"DITS",IF(ISNUMBER(SEARCH("AGILE",E83)),"AGILE",IF(ISNUMBER(SEARCH("Ciberseguridad",E83)),"Ciberseguridad","Otros"))))))))))))))</f>
        <v/>
      </c>
      <c r="Q83" s="44" t="str">
        <f aca="false">IF(B83="","",IF(ISNUMBER(K83),IF(K83&lt;=3,"1-3 meses",IF(K83&lt;=6,"4-6 meses","+6 meses")),"Sin dato registrado"))</f>
        <v/>
      </c>
      <c r="R83" s="44" t="str">
        <f aca="false">IF(OR(B83="",M83=""),"",RANK(M83,$M$3:$M$306)+COUNTIF($M$3:M83,M83)-1)</f>
        <v/>
      </c>
    </row>
    <row r="84" customFormat="false" ht="15" hidden="true" customHeight="true" outlineLevel="0" collapsed="false">
      <c r="A84" s="49" t="n">
        <v>22</v>
      </c>
      <c r="C84" s="54"/>
      <c r="M84" s="44" t="str">
        <f aca="false">IF(B84="","",IF(ISNUMBER(I84),I84,IFERROR(VALUE(SUBSTITUTE(SUBSTITUTE(I84,"$",""),".","")),0)))</f>
        <v/>
      </c>
      <c r="N84" s="44" t="str">
        <f aca="false">IF(B84="","",PROPER(TRIM(D84)))</f>
        <v/>
      </c>
      <c r="O84" s="44" t="str">
        <f aca="false">IF(B84="","",IF(OR(ISNUMBER(SEARCH("AL DIA",L84)),ISNUMBER(SEARCH("AL DIA",F84))),"Al día",IF(OR(ISNUMBER(SEARCH("QUIETO",L84)),ISNUMBER(SEARCH("QUIETO",F84)),ISNUMBER(SEARCH("ESPERANDO",L84)),ISNUMBER(SEARCH("ESPERANDO",F84))),"Sin respuesta / Inactivo",IF(OR(ISNUMBER(SEARCH("PENDIENTE",L84)),ISNUMBER(SEARCH("PENDIENTE",F84)),ISNUMBER(SEARCH("COMPROMISO",F84)),ISNUMBER(SEARCH("COMPROMISO",L84)),ISNUMBER(SEARCH("PROCESO",F84)),ISNUMBER(SEARCH("LLAMAR",F84)),ISNUMBER(SEARCH("ABONO",J84)),EXACT(L84,"P"),EXACT(F84,"P")),"Pendiente / Compromiso","Sin gestionar"))))</f>
        <v/>
      </c>
      <c r="P84" s="44" t="str">
        <f aca="false">IF(B84="","",IF(E84="","Sin definir",IF(ISNUMBER(SEARCH("ITIL",E84)),"ITIL",IF(ISNUMBER(SEARCH("ISO 27001",E84)),"ISO 27001",IF(ISNUMBER(SEARCH("ISO 42001",E84)),"ISO 42001",IF(ISNUMBER(SEARCH("ISO",E84)),"Otras ISO",IF(ISNUMBER(SEARCH("SCRUM",E84)),"SCRUM",IF(ISNUMBER(SEARCH("BRIDGE",E84)),"BRIDGE",IF(ISNUMBER(SEARCH("CDS",E84)),"CDS",IF(ISNUMBER(SEARCH("TOGAF",E84)),"TOGAF",IF(ISNUMBER(SEARCH("DPI",E84)),"DPI",IF(ISNUMBER(SEARCH("DITS",E84)),"DITS",IF(ISNUMBER(SEARCH("AGILE",E84)),"AGILE",IF(ISNUMBER(SEARCH("Ciberseguridad",E84)),"Ciberseguridad","Otros"))))))))))))))</f>
        <v/>
      </c>
      <c r="Q84" s="44" t="str">
        <f aca="false">IF(B84="","",IF(ISNUMBER(K84),IF(K84&lt;=3,"1-3 meses",IF(K84&lt;=6,"4-6 meses","+6 meses")),"Sin dato registrado"))</f>
        <v/>
      </c>
      <c r="R84" s="44" t="str">
        <f aca="false">IF(OR(B84="",M84=""),"",RANK(M84,$M$3:$M$306)+COUNTIF($M$3:M84,M84)-1)</f>
        <v/>
      </c>
    </row>
    <row r="85" customFormat="false" ht="15" hidden="true" customHeight="true" outlineLevel="0" collapsed="false">
      <c r="A85" s="50" t="n">
        <v>22</v>
      </c>
      <c r="C85" s="54"/>
      <c r="M85" s="44" t="str">
        <f aca="false">IF(B85="","",IF(ISNUMBER(I85),I85,IFERROR(VALUE(SUBSTITUTE(SUBSTITUTE(I85,"$",""),".","")),0)))</f>
        <v/>
      </c>
      <c r="N85" s="44" t="str">
        <f aca="false">IF(B85="","",PROPER(TRIM(D85)))</f>
        <v/>
      </c>
      <c r="O85" s="44" t="str">
        <f aca="false">IF(B85="","",IF(OR(ISNUMBER(SEARCH("AL DIA",L85)),ISNUMBER(SEARCH("AL DIA",F85))),"Al día",IF(OR(ISNUMBER(SEARCH("QUIETO",L85)),ISNUMBER(SEARCH("QUIETO",F85)),ISNUMBER(SEARCH("ESPERANDO",L85)),ISNUMBER(SEARCH("ESPERANDO",F85))),"Sin respuesta / Inactivo",IF(OR(ISNUMBER(SEARCH("PENDIENTE",L85)),ISNUMBER(SEARCH("PENDIENTE",F85)),ISNUMBER(SEARCH("COMPROMISO",F85)),ISNUMBER(SEARCH("COMPROMISO",L85)),ISNUMBER(SEARCH("PROCESO",F85)),ISNUMBER(SEARCH("LLAMAR",F85)),ISNUMBER(SEARCH("ABONO",J85)),EXACT(L85,"P"),EXACT(F85,"P")),"Pendiente / Compromiso","Sin gestionar"))))</f>
        <v/>
      </c>
      <c r="P85" s="44" t="str">
        <f aca="false">IF(B85="","",IF(E85="","Sin definir",IF(ISNUMBER(SEARCH("ITIL",E85)),"ITIL",IF(ISNUMBER(SEARCH("ISO 27001",E85)),"ISO 27001",IF(ISNUMBER(SEARCH("ISO 42001",E85)),"ISO 42001",IF(ISNUMBER(SEARCH("ISO",E85)),"Otras ISO",IF(ISNUMBER(SEARCH("SCRUM",E85)),"SCRUM",IF(ISNUMBER(SEARCH("BRIDGE",E85)),"BRIDGE",IF(ISNUMBER(SEARCH("CDS",E85)),"CDS",IF(ISNUMBER(SEARCH("TOGAF",E85)),"TOGAF",IF(ISNUMBER(SEARCH("DPI",E85)),"DPI",IF(ISNUMBER(SEARCH("DITS",E85)),"DITS",IF(ISNUMBER(SEARCH("AGILE",E85)),"AGILE",IF(ISNUMBER(SEARCH("Ciberseguridad",E85)),"Ciberseguridad","Otros"))))))))))))))</f>
        <v/>
      </c>
      <c r="Q85" s="44" t="str">
        <f aca="false">IF(B85="","",IF(ISNUMBER(K85),IF(K85&lt;=3,"1-3 meses",IF(K85&lt;=6,"4-6 meses","+6 meses")),"Sin dato registrado"))</f>
        <v/>
      </c>
      <c r="R85" s="44" t="str">
        <f aca="false">IF(OR(B85="",M85=""),"",RANK(M85,$M$3:$M$306)+COUNTIF($M$3:M85,M85)-1)</f>
        <v/>
      </c>
    </row>
    <row r="86" customFormat="false" ht="15" hidden="true" customHeight="true" outlineLevel="0" collapsed="false">
      <c r="A86" s="49" t="n">
        <v>22</v>
      </c>
      <c r="C86" s="54"/>
      <c r="M86" s="44" t="str">
        <f aca="false">IF(B86="","",IF(ISNUMBER(I86),I86,IFERROR(VALUE(SUBSTITUTE(SUBSTITUTE(I86,"$",""),".","")),0)))</f>
        <v/>
      </c>
      <c r="N86" s="44" t="str">
        <f aca="false">IF(B86="","",PROPER(TRIM(D86)))</f>
        <v/>
      </c>
      <c r="O86" s="44" t="str">
        <f aca="false">IF(B86="","",IF(OR(ISNUMBER(SEARCH("AL DIA",L86)),ISNUMBER(SEARCH("AL DIA",F86))),"Al día",IF(OR(ISNUMBER(SEARCH("QUIETO",L86)),ISNUMBER(SEARCH("QUIETO",F86)),ISNUMBER(SEARCH("ESPERANDO",L86)),ISNUMBER(SEARCH("ESPERANDO",F86))),"Sin respuesta / Inactivo",IF(OR(ISNUMBER(SEARCH("PENDIENTE",L86)),ISNUMBER(SEARCH("PENDIENTE",F86)),ISNUMBER(SEARCH("COMPROMISO",F86)),ISNUMBER(SEARCH("COMPROMISO",L86)),ISNUMBER(SEARCH("PROCESO",F86)),ISNUMBER(SEARCH("LLAMAR",F86)),ISNUMBER(SEARCH("ABONO",J86)),EXACT(L86,"P"),EXACT(F86,"P")),"Pendiente / Compromiso","Sin gestionar"))))</f>
        <v/>
      </c>
      <c r="P86" s="44" t="str">
        <f aca="false">IF(B86="","",IF(E86="","Sin definir",IF(ISNUMBER(SEARCH("ITIL",E86)),"ITIL",IF(ISNUMBER(SEARCH("ISO 27001",E86)),"ISO 27001",IF(ISNUMBER(SEARCH("ISO 42001",E86)),"ISO 42001",IF(ISNUMBER(SEARCH("ISO",E86)),"Otras ISO",IF(ISNUMBER(SEARCH("SCRUM",E86)),"SCRUM",IF(ISNUMBER(SEARCH("BRIDGE",E86)),"BRIDGE",IF(ISNUMBER(SEARCH("CDS",E86)),"CDS",IF(ISNUMBER(SEARCH("TOGAF",E86)),"TOGAF",IF(ISNUMBER(SEARCH("DPI",E86)),"DPI",IF(ISNUMBER(SEARCH("DITS",E86)),"DITS",IF(ISNUMBER(SEARCH("AGILE",E86)),"AGILE",IF(ISNUMBER(SEARCH("Ciberseguridad",E86)),"Ciberseguridad","Otros"))))))))))))))</f>
        <v/>
      </c>
      <c r="Q86" s="44" t="str">
        <f aca="false">IF(B86="","",IF(ISNUMBER(K86),IF(K86&lt;=3,"1-3 meses",IF(K86&lt;=6,"4-6 meses","+6 meses")),"Sin dato registrado"))</f>
        <v/>
      </c>
      <c r="R86" s="44" t="str">
        <f aca="false">IF(OR(B86="",M86=""),"",RANK(M86,$M$3:$M$306)+COUNTIF($M$3:M86,M86)-1)</f>
        <v/>
      </c>
    </row>
    <row r="87" customFormat="false" ht="15" hidden="true" customHeight="true" outlineLevel="0" collapsed="false">
      <c r="A87" s="50" t="n">
        <v>22</v>
      </c>
      <c r="C87" s="54"/>
      <c r="M87" s="44" t="str">
        <f aca="false">IF(B87="","",IF(ISNUMBER(I87),I87,IFERROR(VALUE(SUBSTITUTE(SUBSTITUTE(I87,"$",""),".","")),0)))</f>
        <v/>
      </c>
      <c r="N87" s="44" t="str">
        <f aca="false">IF(B87="","",PROPER(TRIM(D87)))</f>
        <v/>
      </c>
      <c r="O87" s="44" t="str">
        <f aca="false">IF(B87="","",IF(OR(ISNUMBER(SEARCH("AL DIA",L87)),ISNUMBER(SEARCH("AL DIA",F87))),"Al día",IF(OR(ISNUMBER(SEARCH("QUIETO",L87)),ISNUMBER(SEARCH("QUIETO",F87)),ISNUMBER(SEARCH("ESPERANDO",L87)),ISNUMBER(SEARCH("ESPERANDO",F87))),"Sin respuesta / Inactivo",IF(OR(ISNUMBER(SEARCH("PENDIENTE",L87)),ISNUMBER(SEARCH("PENDIENTE",F87)),ISNUMBER(SEARCH("COMPROMISO",F87)),ISNUMBER(SEARCH("COMPROMISO",L87)),ISNUMBER(SEARCH("PROCESO",F87)),ISNUMBER(SEARCH("LLAMAR",F87)),ISNUMBER(SEARCH("ABONO",J87)),EXACT(L87,"P"),EXACT(F87,"P")),"Pendiente / Compromiso","Sin gestionar"))))</f>
        <v/>
      </c>
      <c r="P87" s="44" t="str">
        <f aca="false">IF(B87="","",IF(E87="","Sin definir",IF(ISNUMBER(SEARCH("ITIL",E87)),"ITIL",IF(ISNUMBER(SEARCH("ISO 27001",E87)),"ISO 27001",IF(ISNUMBER(SEARCH("ISO 42001",E87)),"ISO 42001",IF(ISNUMBER(SEARCH("ISO",E87)),"Otras ISO",IF(ISNUMBER(SEARCH("SCRUM",E87)),"SCRUM",IF(ISNUMBER(SEARCH("BRIDGE",E87)),"BRIDGE",IF(ISNUMBER(SEARCH("CDS",E87)),"CDS",IF(ISNUMBER(SEARCH("TOGAF",E87)),"TOGAF",IF(ISNUMBER(SEARCH("DPI",E87)),"DPI",IF(ISNUMBER(SEARCH("DITS",E87)),"DITS",IF(ISNUMBER(SEARCH("AGILE",E87)),"AGILE",IF(ISNUMBER(SEARCH("Ciberseguridad",E87)),"Ciberseguridad","Otros"))))))))))))))</f>
        <v/>
      </c>
      <c r="Q87" s="44" t="str">
        <f aca="false">IF(B87="","",IF(ISNUMBER(K87),IF(K87&lt;=3,"1-3 meses",IF(K87&lt;=6,"4-6 meses","+6 meses")),"Sin dato registrado"))</f>
        <v/>
      </c>
      <c r="R87" s="44" t="str">
        <f aca="false">IF(OR(B87="",M87=""),"",RANK(M87,$M$3:$M$306)+COUNTIF($M$3:M87,M87)-1)</f>
        <v/>
      </c>
    </row>
    <row r="88" customFormat="false" ht="15" hidden="true" customHeight="true" outlineLevel="0" collapsed="false">
      <c r="A88" s="49" t="n">
        <v>22</v>
      </c>
      <c r="C88" s="54"/>
      <c r="M88" s="44" t="str">
        <f aca="false">IF(B88="","",IF(ISNUMBER(I88),I88,IFERROR(VALUE(SUBSTITUTE(SUBSTITUTE(I88,"$",""),".","")),0)))</f>
        <v/>
      </c>
      <c r="N88" s="44" t="str">
        <f aca="false">IF(B88="","",PROPER(TRIM(D88)))</f>
        <v/>
      </c>
      <c r="O88" s="44" t="str">
        <f aca="false">IF(B88="","",IF(OR(ISNUMBER(SEARCH("AL DIA",L88)),ISNUMBER(SEARCH("AL DIA",F88))),"Al día",IF(OR(ISNUMBER(SEARCH("QUIETO",L88)),ISNUMBER(SEARCH("QUIETO",F88)),ISNUMBER(SEARCH("ESPERANDO",L88)),ISNUMBER(SEARCH("ESPERANDO",F88))),"Sin respuesta / Inactivo",IF(OR(ISNUMBER(SEARCH("PENDIENTE",L88)),ISNUMBER(SEARCH("PENDIENTE",F88)),ISNUMBER(SEARCH("COMPROMISO",F88)),ISNUMBER(SEARCH("COMPROMISO",L88)),ISNUMBER(SEARCH("PROCESO",F88)),ISNUMBER(SEARCH("LLAMAR",F88)),ISNUMBER(SEARCH("ABONO",J88)),EXACT(L88,"P"),EXACT(F88,"P")),"Pendiente / Compromiso","Sin gestionar"))))</f>
        <v/>
      </c>
      <c r="P88" s="44" t="str">
        <f aca="false">IF(B88="","",IF(E88="","Sin definir",IF(ISNUMBER(SEARCH("ITIL",E88)),"ITIL",IF(ISNUMBER(SEARCH("ISO 27001",E88)),"ISO 27001",IF(ISNUMBER(SEARCH("ISO 42001",E88)),"ISO 42001",IF(ISNUMBER(SEARCH("ISO",E88)),"Otras ISO",IF(ISNUMBER(SEARCH("SCRUM",E88)),"SCRUM",IF(ISNUMBER(SEARCH("BRIDGE",E88)),"BRIDGE",IF(ISNUMBER(SEARCH("CDS",E88)),"CDS",IF(ISNUMBER(SEARCH("TOGAF",E88)),"TOGAF",IF(ISNUMBER(SEARCH("DPI",E88)),"DPI",IF(ISNUMBER(SEARCH("DITS",E88)),"DITS",IF(ISNUMBER(SEARCH("AGILE",E88)),"AGILE",IF(ISNUMBER(SEARCH("Ciberseguridad",E88)),"Ciberseguridad","Otros"))))))))))))))</f>
        <v/>
      </c>
      <c r="Q88" s="44" t="str">
        <f aca="false">IF(B88="","",IF(ISNUMBER(K88),IF(K88&lt;=3,"1-3 meses",IF(K88&lt;=6,"4-6 meses","+6 meses")),"Sin dato registrado"))</f>
        <v/>
      </c>
      <c r="R88" s="44" t="str">
        <f aca="false">IF(OR(B88="",M88=""),"",RANK(M88,$M$3:$M$306)+COUNTIF($M$3:M88,M88)-1)</f>
        <v/>
      </c>
    </row>
    <row r="89" customFormat="false" ht="15" hidden="true" customHeight="true" outlineLevel="0" collapsed="false">
      <c r="A89" s="50" t="n">
        <v>22</v>
      </c>
      <c r="C89" s="54"/>
      <c r="M89" s="44" t="str">
        <f aca="false">IF(B89="","",IF(ISNUMBER(I89),I89,IFERROR(VALUE(SUBSTITUTE(SUBSTITUTE(I89,"$",""),".","")),0)))</f>
        <v/>
      </c>
      <c r="N89" s="44" t="str">
        <f aca="false">IF(B89="","",PROPER(TRIM(D89)))</f>
        <v/>
      </c>
      <c r="O89" s="44" t="str">
        <f aca="false">IF(B89="","",IF(OR(ISNUMBER(SEARCH("AL DIA",L89)),ISNUMBER(SEARCH("AL DIA",F89))),"Al día",IF(OR(ISNUMBER(SEARCH("QUIETO",L89)),ISNUMBER(SEARCH("QUIETO",F89)),ISNUMBER(SEARCH("ESPERANDO",L89)),ISNUMBER(SEARCH("ESPERANDO",F89))),"Sin respuesta / Inactivo",IF(OR(ISNUMBER(SEARCH("PENDIENTE",L89)),ISNUMBER(SEARCH("PENDIENTE",F89)),ISNUMBER(SEARCH("COMPROMISO",F89)),ISNUMBER(SEARCH("COMPROMISO",L89)),ISNUMBER(SEARCH("PROCESO",F89)),ISNUMBER(SEARCH("LLAMAR",F89)),ISNUMBER(SEARCH("ABONO",J89)),EXACT(L89,"P"),EXACT(F89,"P")),"Pendiente / Compromiso","Sin gestionar"))))</f>
        <v/>
      </c>
      <c r="P89" s="44" t="str">
        <f aca="false">IF(B89="","",IF(E89="","Sin definir",IF(ISNUMBER(SEARCH("ITIL",E89)),"ITIL",IF(ISNUMBER(SEARCH("ISO 27001",E89)),"ISO 27001",IF(ISNUMBER(SEARCH("ISO 42001",E89)),"ISO 42001",IF(ISNUMBER(SEARCH("ISO",E89)),"Otras ISO",IF(ISNUMBER(SEARCH("SCRUM",E89)),"SCRUM",IF(ISNUMBER(SEARCH("BRIDGE",E89)),"BRIDGE",IF(ISNUMBER(SEARCH("CDS",E89)),"CDS",IF(ISNUMBER(SEARCH("TOGAF",E89)),"TOGAF",IF(ISNUMBER(SEARCH("DPI",E89)),"DPI",IF(ISNUMBER(SEARCH("DITS",E89)),"DITS",IF(ISNUMBER(SEARCH("AGILE",E89)),"AGILE",IF(ISNUMBER(SEARCH("Ciberseguridad",E89)),"Ciberseguridad","Otros"))))))))))))))</f>
        <v/>
      </c>
      <c r="Q89" s="44" t="str">
        <f aca="false">IF(B89="","",IF(ISNUMBER(K89),IF(K89&lt;=3,"1-3 meses",IF(K89&lt;=6,"4-6 meses","+6 meses")),"Sin dato registrado"))</f>
        <v/>
      </c>
      <c r="R89" s="44" t="str">
        <f aca="false">IF(OR(B89="",M89=""),"",RANK(M89,$M$3:$M$306)+COUNTIF($M$3:M89,M89)-1)</f>
        <v/>
      </c>
    </row>
    <row r="90" customFormat="false" ht="15" hidden="true" customHeight="true" outlineLevel="0" collapsed="false">
      <c r="A90" s="49" t="n">
        <v>22</v>
      </c>
      <c r="C90" s="54"/>
      <c r="M90" s="44" t="str">
        <f aca="false">IF(B90="","",IF(ISNUMBER(I90),I90,IFERROR(VALUE(SUBSTITUTE(SUBSTITUTE(I90,"$",""),".","")),0)))</f>
        <v/>
      </c>
      <c r="N90" s="44" t="str">
        <f aca="false">IF(B90="","",PROPER(TRIM(D90)))</f>
        <v/>
      </c>
      <c r="O90" s="44" t="str">
        <f aca="false">IF(B90="","",IF(OR(ISNUMBER(SEARCH("AL DIA",L90)),ISNUMBER(SEARCH("AL DIA",F90))),"Al día",IF(OR(ISNUMBER(SEARCH("QUIETO",L90)),ISNUMBER(SEARCH("QUIETO",F90)),ISNUMBER(SEARCH("ESPERANDO",L90)),ISNUMBER(SEARCH("ESPERANDO",F90))),"Sin respuesta / Inactivo",IF(OR(ISNUMBER(SEARCH("PENDIENTE",L90)),ISNUMBER(SEARCH("PENDIENTE",F90)),ISNUMBER(SEARCH("COMPROMISO",F90)),ISNUMBER(SEARCH("COMPROMISO",L90)),ISNUMBER(SEARCH("PROCESO",F90)),ISNUMBER(SEARCH("LLAMAR",F90)),ISNUMBER(SEARCH("ABONO",J90)),EXACT(L90,"P"),EXACT(F90,"P")),"Pendiente / Compromiso","Sin gestionar"))))</f>
        <v/>
      </c>
      <c r="P90" s="44" t="str">
        <f aca="false">IF(B90="","",IF(E90="","Sin definir",IF(ISNUMBER(SEARCH("ITIL",E90)),"ITIL",IF(ISNUMBER(SEARCH("ISO 27001",E90)),"ISO 27001",IF(ISNUMBER(SEARCH("ISO 42001",E90)),"ISO 42001",IF(ISNUMBER(SEARCH("ISO",E90)),"Otras ISO",IF(ISNUMBER(SEARCH("SCRUM",E90)),"SCRUM",IF(ISNUMBER(SEARCH("BRIDGE",E90)),"BRIDGE",IF(ISNUMBER(SEARCH("CDS",E90)),"CDS",IF(ISNUMBER(SEARCH("TOGAF",E90)),"TOGAF",IF(ISNUMBER(SEARCH("DPI",E90)),"DPI",IF(ISNUMBER(SEARCH("DITS",E90)),"DITS",IF(ISNUMBER(SEARCH("AGILE",E90)),"AGILE",IF(ISNUMBER(SEARCH("Ciberseguridad",E90)),"Ciberseguridad","Otros"))))))))))))))</f>
        <v/>
      </c>
      <c r="Q90" s="44" t="str">
        <f aca="false">IF(B90="","",IF(ISNUMBER(K90),IF(K90&lt;=3,"1-3 meses",IF(K90&lt;=6,"4-6 meses","+6 meses")),"Sin dato registrado"))</f>
        <v/>
      </c>
      <c r="R90" s="44" t="str">
        <f aca="false">IF(OR(B90="",M90=""),"",RANK(M90,$M$3:$M$306)+COUNTIF($M$3:M90,M90)-1)</f>
        <v/>
      </c>
    </row>
    <row r="91" customFormat="false" ht="15" hidden="true" customHeight="true" outlineLevel="0" collapsed="false">
      <c r="A91" s="50" t="n">
        <v>22</v>
      </c>
      <c r="C91" s="54"/>
      <c r="M91" s="44" t="str">
        <f aca="false">IF(B91="","",IF(ISNUMBER(I91),I91,IFERROR(VALUE(SUBSTITUTE(SUBSTITUTE(I91,"$",""),".","")),0)))</f>
        <v/>
      </c>
      <c r="N91" s="44" t="str">
        <f aca="false">IF(B91="","",PROPER(TRIM(D91)))</f>
        <v/>
      </c>
      <c r="O91" s="44" t="str">
        <f aca="false">IF(B91="","",IF(OR(ISNUMBER(SEARCH("AL DIA",L91)),ISNUMBER(SEARCH("AL DIA",F91))),"Al día",IF(OR(ISNUMBER(SEARCH("QUIETO",L91)),ISNUMBER(SEARCH("QUIETO",F91)),ISNUMBER(SEARCH("ESPERANDO",L91)),ISNUMBER(SEARCH("ESPERANDO",F91))),"Sin respuesta / Inactivo",IF(OR(ISNUMBER(SEARCH("PENDIENTE",L91)),ISNUMBER(SEARCH("PENDIENTE",F91)),ISNUMBER(SEARCH("COMPROMISO",F91)),ISNUMBER(SEARCH("COMPROMISO",L91)),ISNUMBER(SEARCH("PROCESO",F91)),ISNUMBER(SEARCH("LLAMAR",F91)),ISNUMBER(SEARCH("ABONO",J91)),EXACT(L91,"P"),EXACT(F91,"P")),"Pendiente / Compromiso","Sin gestionar"))))</f>
        <v/>
      </c>
      <c r="P91" s="44" t="str">
        <f aca="false">IF(B91="","",IF(E91="","Sin definir",IF(ISNUMBER(SEARCH("ITIL",E91)),"ITIL",IF(ISNUMBER(SEARCH("ISO 27001",E91)),"ISO 27001",IF(ISNUMBER(SEARCH("ISO 42001",E91)),"ISO 42001",IF(ISNUMBER(SEARCH("ISO",E91)),"Otras ISO",IF(ISNUMBER(SEARCH("SCRUM",E91)),"SCRUM",IF(ISNUMBER(SEARCH("BRIDGE",E91)),"BRIDGE",IF(ISNUMBER(SEARCH("CDS",E91)),"CDS",IF(ISNUMBER(SEARCH("TOGAF",E91)),"TOGAF",IF(ISNUMBER(SEARCH("DPI",E91)),"DPI",IF(ISNUMBER(SEARCH("DITS",E91)),"DITS",IF(ISNUMBER(SEARCH("AGILE",E91)),"AGILE",IF(ISNUMBER(SEARCH("Ciberseguridad",E91)),"Ciberseguridad","Otros"))))))))))))))</f>
        <v/>
      </c>
      <c r="Q91" s="44" t="str">
        <f aca="false">IF(B91="","",IF(ISNUMBER(K91),IF(K91&lt;=3,"1-3 meses",IF(K91&lt;=6,"4-6 meses","+6 meses")),"Sin dato registrado"))</f>
        <v/>
      </c>
      <c r="R91" s="44" t="str">
        <f aca="false">IF(OR(B91="",M91=""),"",RANK(M91,$M$3:$M$306)+COUNTIF($M$3:M91,M91)-1)</f>
        <v/>
      </c>
    </row>
    <row r="92" customFormat="false" ht="15" hidden="true" customHeight="true" outlineLevel="0" collapsed="false">
      <c r="A92" s="49" t="n">
        <v>22</v>
      </c>
      <c r="C92" s="54"/>
      <c r="M92" s="44" t="str">
        <f aca="false">IF(B92="","",IF(ISNUMBER(I92),I92,IFERROR(VALUE(SUBSTITUTE(SUBSTITUTE(I92,"$",""),".","")),0)))</f>
        <v/>
      </c>
      <c r="N92" s="44" t="str">
        <f aca="false">IF(B92="","",PROPER(TRIM(D92)))</f>
        <v/>
      </c>
      <c r="O92" s="44" t="str">
        <f aca="false">IF(B92="","",IF(OR(ISNUMBER(SEARCH("AL DIA",L92)),ISNUMBER(SEARCH("AL DIA",F92))),"Al día",IF(OR(ISNUMBER(SEARCH("QUIETO",L92)),ISNUMBER(SEARCH("QUIETO",F92)),ISNUMBER(SEARCH("ESPERANDO",L92)),ISNUMBER(SEARCH("ESPERANDO",F92))),"Sin respuesta / Inactivo",IF(OR(ISNUMBER(SEARCH("PENDIENTE",L92)),ISNUMBER(SEARCH("PENDIENTE",F92)),ISNUMBER(SEARCH("COMPROMISO",F92)),ISNUMBER(SEARCH("COMPROMISO",L92)),ISNUMBER(SEARCH("PROCESO",F92)),ISNUMBER(SEARCH("LLAMAR",F92)),ISNUMBER(SEARCH("ABONO",J92)),EXACT(L92,"P"),EXACT(F92,"P")),"Pendiente / Compromiso","Sin gestionar"))))</f>
        <v/>
      </c>
      <c r="P92" s="44" t="str">
        <f aca="false">IF(B92="","",IF(E92="","Sin definir",IF(ISNUMBER(SEARCH("ITIL",E92)),"ITIL",IF(ISNUMBER(SEARCH("ISO 27001",E92)),"ISO 27001",IF(ISNUMBER(SEARCH("ISO 42001",E92)),"ISO 42001",IF(ISNUMBER(SEARCH("ISO",E92)),"Otras ISO",IF(ISNUMBER(SEARCH("SCRUM",E92)),"SCRUM",IF(ISNUMBER(SEARCH("BRIDGE",E92)),"BRIDGE",IF(ISNUMBER(SEARCH("CDS",E92)),"CDS",IF(ISNUMBER(SEARCH("TOGAF",E92)),"TOGAF",IF(ISNUMBER(SEARCH("DPI",E92)),"DPI",IF(ISNUMBER(SEARCH("DITS",E92)),"DITS",IF(ISNUMBER(SEARCH("AGILE",E92)),"AGILE",IF(ISNUMBER(SEARCH("Ciberseguridad",E92)),"Ciberseguridad","Otros"))))))))))))))</f>
        <v/>
      </c>
      <c r="Q92" s="44" t="str">
        <f aca="false">IF(B92="","",IF(ISNUMBER(K92),IF(K92&lt;=3,"1-3 meses",IF(K92&lt;=6,"4-6 meses","+6 meses")),"Sin dato registrado"))</f>
        <v/>
      </c>
      <c r="R92" s="44" t="str">
        <f aca="false">IF(OR(B92="",M92=""),"",RANK(M92,$M$3:$M$306)+COUNTIF($M$3:M92,M92)-1)</f>
        <v/>
      </c>
    </row>
    <row r="93" customFormat="false" ht="15" hidden="true" customHeight="true" outlineLevel="0" collapsed="false">
      <c r="A93" s="50" t="n">
        <v>22</v>
      </c>
      <c r="C93" s="54"/>
      <c r="M93" s="44" t="str">
        <f aca="false">IF(B93="","",IF(ISNUMBER(I93),I93,IFERROR(VALUE(SUBSTITUTE(SUBSTITUTE(I93,"$",""),".","")),0)))</f>
        <v/>
      </c>
      <c r="N93" s="44" t="str">
        <f aca="false">IF(B93="","",PROPER(TRIM(D93)))</f>
        <v/>
      </c>
      <c r="O93" s="44" t="str">
        <f aca="false">IF(B93="","",IF(OR(ISNUMBER(SEARCH("AL DIA",L93)),ISNUMBER(SEARCH("AL DIA",F93))),"Al día",IF(OR(ISNUMBER(SEARCH("QUIETO",L93)),ISNUMBER(SEARCH("QUIETO",F93)),ISNUMBER(SEARCH("ESPERANDO",L93)),ISNUMBER(SEARCH("ESPERANDO",F93))),"Sin respuesta / Inactivo",IF(OR(ISNUMBER(SEARCH("PENDIENTE",L93)),ISNUMBER(SEARCH("PENDIENTE",F93)),ISNUMBER(SEARCH("COMPROMISO",F93)),ISNUMBER(SEARCH("COMPROMISO",L93)),ISNUMBER(SEARCH("PROCESO",F93)),ISNUMBER(SEARCH("LLAMAR",F93)),ISNUMBER(SEARCH("ABONO",J93)),EXACT(L93,"P"),EXACT(F93,"P")),"Pendiente / Compromiso","Sin gestionar"))))</f>
        <v/>
      </c>
      <c r="P93" s="44" t="str">
        <f aca="false">IF(B93="","",IF(E93="","Sin definir",IF(ISNUMBER(SEARCH("ITIL",E93)),"ITIL",IF(ISNUMBER(SEARCH("ISO 27001",E93)),"ISO 27001",IF(ISNUMBER(SEARCH("ISO 42001",E93)),"ISO 42001",IF(ISNUMBER(SEARCH("ISO",E93)),"Otras ISO",IF(ISNUMBER(SEARCH("SCRUM",E93)),"SCRUM",IF(ISNUMBER(SEARCH("BRIDGE",E93)),"BRIDGE",IF(ISNUMBER(SEARCH("CDS",E93)),"CDS",IF(ISNUMBER(SEARCH("TOGAF",E93)),"TOGAF",IF(ISNUMBER(SEARCH("DPI",E93)),"DPI",IF(ISNUMBER(SEARCH("DITS",E93)),"DITS",IF(ISNUMBER(SEARCH("AGILE",E93)),"AGILE",IF(ISNUMBER(SEARCH("Ciberseguridad",E93)),"Ciberseguridad","Otros"))))))))))))))</f>
        <v/>
      </c>
      <c r="Q93" s="44" t="str">
        <f aca="false">IF(B93="","",IF(ISNUMBER(K93),IF(K93&lt;=3,"1-3 meses",IF(K93&lt;=6,"4-6 meses","+6 meses")),"Sin dato registrado"))</f>
        <v/>
      </c>
      <c r="R93" s="44" t="str">
        <f aca="false">IF(OR(B93="",M93=""),"",RANK(M93,$M$3:$M$306)+COUNTIF($M$3:M93,M93)-1)</f>
        <v/>
      </c>
    </row>
    <row r="94" customFormat="false" ht="15" hidden="true" customHeight="true" outlineLevel="0" collapsed="false">
      <c r="A94" s="49" t="n">
        <v>22</v>
      </c>
      <c r="C94" s="54"/>
      <c r="M94" s="44" t="str">
        <f aca="false">IF(B94="","",IF(ISNUMBER(I94),I94,IFERROR(VALUE(SUBSTITUTE(SUBSTITUTE(I94,"$",""),".","")),0)))</f>
        <v/>
      </c>
      <c r="N94" s="44" t="str">
        <f aca="false">IF(B94="","",PROPER(TRIM(D94)))</f>
        <v/>
      </c>
      <c r="O94" s="44" t="str">
        <f aca="false">IF(B94="","",IF(OR(ISNUMBER(SEARCH("AL DIA",L94)),ISNUMBER(SEARCH("AL DIA",F94))),"Al día",IF(OR(ISNUMBER(SEARCH("QUIETO",L94)),ISNUMBER(SEARCH("QUIETO",F94)),ISNUMBER(SEARCH("ESPERANDO",L94)),ISNUMBER(SEARCH("ESPERANDO",F94))),"Sin respuesta / Inactivo",IF(OR(ISNUMBER(SEARCH("PENDIENTE",L94)),ISNUMBER(SEARCH("PENDIENTE",F94)),ISNUMBER(SEARCH("COMPROMISO",F94)),ISNUMBER(SEARCH("COMPROMISO",L94)),ISNUMBER(SEARCH("PROCESO",F94)),ISNUMBER(SEARCH("LLAMAR",F94)),ISNUMBER(SEARCH("ABONO",J94)),EXACT(L94,"P"),EXACT(F94,"P")),"Pendiente / Compromiso","Sin gestionar"))))</f>
        <v/>
      </c>
      <c r="P94" s="44" t="str">
        <f aca="false">IF(B94="","",IF(E94="","Sin definir",IF(ISNUMBER(SEARCH("ITIL",E94)),"ITIL",IF(ISNUMBER(SEARCH("ISO 27001",E94)),"ISO 27001",IF(ISNUMBER(SEARCH("ISO 42001",E94)),"ISO 42001",IF(ISNUMBER(SEARCH("ISO",E94)),"Otras ISO",IF(ISNUMBER(SEARCH("SCRUM",E94)),"SCRUM",IF(ISNUMBER(SEARCH("BRIDGE",E94)),"BRIDGE",IF(ISNUMBER(SEARCH("CDS",E94)),"CDS",IF(ISNUMBER(SEARCH("TOGAF",E94)),"TOGAF",IF(ISNUMBER(SEARCH("DPI",E94)),"DPI",IF(ISNUMBER(SEARCH("DITS",E94)),"DITS",IF(ISNUMBER(SEARCH("AGILE",E94)),"AGILE",IF(ISNUMBER(SEARCH("Ciberseguridad",E94)),"Ciberseguridad","Otros"))))))))))))))</f>
        <v/>
      </c>
      <c r="Q94" s="44" t="str">
        <f aca="false">IF(B94="","",IF(ISNUMBER(K94),IF(K94&lt;=3,"1-3 meses",IF(K94&lt;=6,"4-6 meses","+6 meses")),"Sin dato registrado"))</f>
        <v/>
      </c>
      <c r="R94" s="44" t="str">
        <f aca="false">IF(OR(B94="",M94=""),"",RANK(M94,$M$3:$M$306)+COUNTIF($M$3:M94,M94)-1)</f>
        <v/>
      </c>
    </row>
    <row r="95" customFormat="false" ht="15" hidden="true" customHeight="true" outlineLevel="0" collapsed="false">
      <c r="A95" s="50" t="n">
        <v>22</v>
      </c>
      <c r="C95" s="54"/>
      <c r="M95" s="44" t="str">
        <f aca="false">IF(B95="","",IF(ISNUMBER(I95),I95,IFERROR(VALUE(SUBSTITUTE(SUBSTITUTE(I95,"$",""),".","")),0)))</f>
        <v/>
      </c>
      <c r="N95" s="44" t="str">
        <f aca="false">IF(B95="","",PROPER(TRIM(D95)))</f>
        <v/>
      </c>
      <c r="O95" s="44" t="str">
        <f aca="false">IF(B95="","",IF(OR(ISNUMBER(SEARCH("AL DIA",L95)),ISNUMBER(SEARCH("AL DIA",F95))),"Al día",IF(OR(ISNUMBER(SEARCH("QUIETO",L95)),ISNUMBER(SEARCH("QUIETO",F95)),ISNUMBER(SEARCH("ESPERANDO",L95)),ISNUMBER(SEARCH("ESPERANDO",F95))),"Sin respuesta / Inactivo",IF(OR(ISNUMBER(SEARCH("PENDIENTE",L95)),ISNUMBER(SEARCH("PENDIENTE",F95)),ISNUMBER(SEARCH("COMPROMISO",F95)),ISNUMBER(SEARCH("COMPROMISO",L95)),ISNUMBER(SEARCH("PROCESO",F95)),ISNUMBER(SEARCH("LLAMAR",F95)),ISNUMBER(SEARCH("ABONO",J95)),EXACT(L95,"P"),EXACT(F95,"P")),"Pendiente / Compromiso","Sin gestionar"))))</f>
        <v/>
      </c>
      <c r="P95" s="44" t="str">
        <f aca="false">IF(B95="","",IF(E95="","Sin definir",IF(ISNUMBER(SEARCH("ITIL",E95)),"ITIL",IF(ISNUMBER(SEARCH("ISO 27001",E95)),"ISO 27001",IF(ISNUMBER(SEARCH("ISO 42001",E95)),"ISO 42001",IF(ISNUMBER(SEARCH("ISO",E95)),"Otras ISO",IF(ISNUMBER(SEARCH("SCRUM",E95)),"SCRUM",IF(ISNUMBER(SEARCH("BRIDGE",E95)),"BRIDGE",IF(ISNUMBER(SEARCH("CDS",E95)),"CDS",IF(ISNUMBER(SEARCH("TOGAF",E95)),"TOGAF",IF(ISNUMBER(SEARCH("DPI",E95)),"DPI",IF(ISNUMBER(SEARCH("DITS",E95)),"DITS",IF(ISNUMBER(SEARCH("AGILE",E95)),"AGILE",IF(ISNUMBER(SEARCH("Ciberseguridad",E95)),"Ciberseguridad","Otros"))))))))))))))</f>
        <v/>
      </c>
      <c r="Q95" s="44" t="str">
        <f aca="false">IF(B95="","",IF(ISNUMBER(K95),IF(K95&lt;=3,"1-3 meses",IF(K95&lt;=6,"4-6 meses","+6 meses")),"Sin dato registrado"))</f>
        <v/>
      </c>
      <c r="R95" s="44" t="str">
        <f aca="false">IF(OR(B95="",M95=""),"",RANK(M95,$M$3:$M$306)+COUNTIF($M$3:M95,M95)-1)</f>
        <v/>
      </c>
    </row>
    <row r="96" customFormat="false" ht="15" hidden="true" customHeight="true" outlineLevel="0" collapsed="false">
      <c r="A96" s="49" t="n">
        <v>22</v>
      </c>
      <c r="C96" s="54"/>
      <c r="M96" s="44" t="str">
        <f aca="false">IF(B96="","",IF(ISNUMBER(I96),I96,IFERROR(VALUE(SUBSTITUTE(SUBSTITUTE(I96,"$",""),".","")),0)))</f>
        <v/>
      </c>
      <c r="N96" s="44" t="str">
        <f aca="false">IF(B96="","",PROPER(TRIM(D96)))</f>
        <v/>
      </c>
      <c r="O96" s="44" t="str">
        <f aca="false">IF(B96="","",IF(OR(ISNUMBER(SEARCH("AL DIA",L96)),ISNUMBER(SEARCH("AL DIA",F96))),"Al día",IF(OR(ISNUMBER(SEARCH("QUIETO",L96)),ISNUMBER(SEARCH("QUIETO",F96)),ISNUMBER(SEARCH("ESPERANDO",L96)),ISNUMBER(SEARCH("ESPERANDO",F96))),"Sin respuesta / Inactivo",IF(OR(ISNUMBER(SEARCH("PENDIENTE",L96)),ISNUMBER(SEARCH("PENDIENTE",F96)),ISNUMBER(SEARCH("COMPROMISO",F96)),ISNUMBER(SEARCH("COMPROMISO",L96)),ISNUMBER(SEARCH("PROCESO",F96)),ISNUMBER(SEARCH("LLAMAR",F96)),ISNUMBER(SEARCH("ABONO",J96)),EXACT(L96,"P"),EXACT(F96,"P")),"Pendiente / Compromiso","Sin gestionar"))))</f>
        <v/>
      </c>
      <c r="P96" s="44" t="str">
        <f aca="false">IF(B96="","",IF(E96="","Sin definir",IF(ISNUMBER(SEARCH("ITIL",E96)),"ITIL",IF(ISNUMBER(SEARCH("ISO 27001",E96)),"ISO 27001",IF(ISNUMBER(SEARCH("ISO 42001",E96)),"ISO 42001",IF(ISNUMBER(SEARCH("ISO",E96)),"Otras ISO",IF(ISNUMBER(SEARCH("SCRUM",E96)),"SCRUM",IF(ISNUMBER(SEARCH("BRIDGE",E96)),"BRIDGE",IF(ISNUMBER(SEARCH("CDS",E96)),"CDS",IF(ISNUMBER(SEARCH("TOGAF",E96)),"TOGAF",IF(ISNUMBER(SEARCH("DPI",E96)),"DPI",IF(ISNUMBER(SEARCH("DITS",E96)),"DITS",IF(ISNUMBER(SEARCH("AGILE",E96)),"AGILE",IF(ISNUMBER(SEARCH("Ciberseguridad",E96)),"Ciberseguridad","Otros"))))))))))))))</f>
        <v/>
      </c>
      <c r="Q96" s="44" t="str">
        <f aca="false">IF(B96="","",IF(ISNUMBER(K96),IF(K96&lt;=3,"1-3 meses",IF(K96&lt;=6,"4-6 meses","+6 meses")),"Sin dato registrado"))</f>
        <v/>
      </c>
      <c r="R96" s="44" t="str">
        <f aca="false">IF(OR(B96="",M96=""),"",RANK(M96,$M$3:$M$306)+COUNTIF($M$3:M96,M96)-1)</f>
        <v/>
      </c>
    </row>
    <row r="97" customFormat="false" ht="15" hidden="true" customHeight="true" outlineLevel="0" collapsed="false">
      <c r="A97" s="50" t="n">
        <v>22</v>
      </c>
      <c r="C97" s="54"/>
      <c r="M97" s="44" t="str">
        <f aca="false">IF(B97="","",IF(ISNUMBER(I97),I97,IFERROR(VALUE(SUBSTITUTE(SUBSTITUTE(I97,"$",""),".","")),0)))</f>
        <v/>
      </c>
      <c r="N97" s="44" t="str">
        <f aca="false">IF(B97="","",PROPER(TRIM(D97)))</f>
        <v/>
      </c>
      <c r="O97" s="44" t="str">
        <f aca="false">IF(B97="","",IF(OR(ISNUMBER(SEARCH("AL DIA",L97)),ISNUMBER(SEARCH("AL DIA",F97))),"Al día",IF(OR(ISNUMBER(SEARCH("QUIETO",L97)),ISNUMBER(SEARCH("QUIETO",F97)),ISNUMBER(SEARCH("ESPERANDO",L97)),ISNUMBER(SEARCH("ESPERANDO",F97))),"Sin respuesta / Inactivo",IF(OR(ISNUMBER(SEARCH("PENDIENTE",L97)),ISNUMBER(SEARCH("PENDIENTE",F97)),ISNUMBER(SEARCH("COMPROMISO",F97)),ISNUMBER(SEARCH("COMPROMISO",L97)),ISNUMBER(SEARCH("PROCESO",F97)),ISNUMBER(SEARCH("LLAMAR",F97)),ISNUMBER(SEARCH("ABONO",J97)),EXACT(L97,"P"),EXACT(F97,"P")),"Pendiente / Compromiso","Sin gestionar"))))</f>
        <v/>
      </c>
      <c r="P97" s="44" t="str">
        <f aca="false">IF(B97="","",IF(E97="","Sin definir",IF(ISNUMBER(SEARCH("ITIL",E97)),"ITIL",IF(ISNUMBER(SEARCH("ISO 27001",E97)),"ISO 27001",IF(ISNUMBER(SEARCH("ISO 42001",E97)),"ISO 42001",IF(ISNUMBER(SEARCH("ISO",E97)),"Otras ISO",IF(ISNUMBER(SEARCH("SCRUM",E97)),"SCRUM",IF(ISNUMBER(SEARCH("BRIDGE",E97)),"BRIDGE",IF(ISNUMBER(SEARCH("CDS",E97)),"CDS",IF(ISNUMBER(SEARCH("TOGAF",E97)),"TOGAF",IF(ISNUMBER(SEARCH("DPI",E97)),"DPI",IF(ISNUMBER(SEARCH("DITS",E97)),"DITS",IF(ISNUMBER(SEARCH("AGILE",E97)),"AGILE",IF(ISNUMBER(SEARCH("Ciberseguridad",E97)),"Ciberseguridad","Otros"))))))))))))))</f>
        <v/>
      </c>
      <c r="Q97" s="44" t="str">
        <f aca="false">IF(B97="","",IF(ISNUMBER(K97),IF(K97&lt;=3,"1-3 meses",IF(K97&lt;=6,"4-6 meses","+6 meses")),"Sin dato registrado"))</f>
        <v/>
      </c>
      <c r="R97" s="44" t="str">
        <f aca="false">IF(OR(B97="",M97=""),"",RANK(M97,$M$3:$M$306)+COUNTIF($M$3:M97,M97)-1)</f>
        <v/>
      </c>
    </row>
    <row r="98" customFormat="false" ht="15" hidden="true" customHeight="true" outlineLevel="0" collapsed="false">
      <c r="A98" s="49" t="n">
        <v>22</v>
      </c>
      <c r="C98" s="54"/>
      <c r="M98" s="44" t="str">
        <f aca="false">IF(B98="","",IF(ISNUMBER(I98),I98,IFERROR(VALUE(SUBSTITUTE(SUBSTITUTE(I98,"$",""),".","")),0)))</f>
        <v/>
      </c>
      <c r="N98" s="44" t="str">
        <f aca="false">IF(B98="","",PROPER(TRIM(D98)))</f>
        <v/>
      </c>
      <c r="O98" s="44" t="str">
        <f aca="false">IF(B98="","",IF(OR(ISNUMBER(SEARCH("AL DIA",L98)),ISNUMBER(SEARCH("AL DIA",F98))),"Al día",IF(OR(ISNUMBER(SEARCH("QUIETO",L98)),ISNUMBER(SEARCH("QUIETO",F98)),ISNUMBER(SEARCH("ESPERANDO",L98)),ISNUMBER(SEARCH("ESPERANDO",F98))),"Sin respuesta / Inactivo",IF(OR(ISNUMBER(SEARCH("PENDIENTE",L98)),ISNUMBER(SEARCH("PENDIENTE",F98)),ISNUMBER(SEARCH("COMPROMISO",F98)),ISNUMBER(SEARCH("COMPROMISO",L98)),ISNUMBER(SEARCH("PROCESO",F98)),ISNUMBER(SEARCH("LLAMAR",F98)),ISNUMBER(SEARCH("ABONO",J98)),EXACT(L98,"P"),EXACT(F98,"P")),"Pendiente / Compromiso","Sin gestionar"))))</f>
        <v/>
      </c>
      <c r="P98" s="44" t="str">
        <f aca="false">IF(B98="","",IF(E98="","Sin definir",IF(ISNUMBER(SEARCH("ITIL",E98)),"ITIL",IF(ISNUMBER(SEARCH("ISO 27001",E98)),"ISO 27001",IF(ISNUMBER(SEARCH("ISO 42001",E98)),"ISO 42001",IF(ISNUMBER(SEARCH("ISO",E98)),"Otras ISO",IF(ISNUMBER(SEARCH("SCRUM",E98)),"SCRUM",IF(ISNUMBER(SEARCH("BRIDGE",E98)),"BRIDGE",IF(ISNUMBER(SEARCH("CDS",E98)),"CDS",IF(ISNUMBER(SEARCH("TOGAF",E98)),"TOGAF",IF(ISNUMBER(SEARCH("DPI",E98)),"DPI",IF(ISNUMBER(SEARCH("DITS",E98)),"DITS",IF(ISNUMBER(SEARCH("AGILE",E98)),"AGILE",IF(ISNUMBER(SEARCH("Ciberseguridad",E98)),"Ciberseguridad","Otros"))))))))))))))</f>
        <v/>
      </c>
      <c r="Q98" s="44" t="str">
        <f aca="false">IF(B98="","",IF(ISNUMBER(K98),IF(K98&lt;=3,"1-3 meses",IF(K98&lt;=6,"4-6 meses","+6 meses")),"Sin dato registrado"))</f>
        <v/>
      </c>
      <c r="R98" s="44" t="str">
        <f aca="false">IF(OR(B98="",M98=""),"",RANK(M98,$M$3:$M$306)+COUNTIF($M$3:M98,M98)-1)</f>
        <v/>
      </c>
    </row>
    <row r="99" customFormat="false" ht="15" hidden="true" customHeight="true" outlineLevel="0" collapsed="false">
      <c r="A99" s="50" t="n">
        <v>22</v>
      </c>
      <c r="C99" s="54"/>
      <c r="M99" s="44" t="str">
        <f aca="false">IF(B99="","",IF(ISNUMBER(I99),I99,IFERROR(VALUE(SUBSTITUTE(SUBSTITUTE(I99,"$",""),".","")),0)))</f>
        <v/>
      </c>
      <c r="N99" s="44" t="str">
        <f aca="false">IF(B99="","",PROPER(TRIM(D99)))</f>
        <v/>
      </c>
      <c r="O99" s="44" t="str">
        <f aca="false">IF(B99="","",IF(OR(ISNUMBER(SEARCH("AL DIA",L99)),ISNUMBER(SEARCH("AL DIA",F99))),"Al día",IF(OR(ISNUMBER(SEARCH("QUIETO",L99)),ISNUMBER(SEARCH("QUIETO",F99)),ISNUMBER(SEARCH("ESPERANDO",L99)),ISNUMBER(SEARCH("ESPERANDO",F99))),"Sin respuesta / Inactivo",IF(OR(ISNUMBER(SEARCH("PENDIENTE",L99)),ISNUMBER(SEARCH("PENDIENTE",F99)),ISNUMBER(SEARCH("COMPROMISO",F99)),ISNUMBER(SEARCH("COMPROMISO",L99)),ISNUMBER(SEARCH("PROCESO",F99)),ISNUMBER(SEARCH("LLAMAR",F99)),ISNUMBER(SEARCH("ABONO",J99)),EXACT(L99,"P"),EXACT(F99,"P")),"Pendiente / Compromiso","Sin gestionar"))))</f>
        <v/>
      </c>
      <c r="P99" s="44" t="str">
        <f aca="false">IF(B99="","",IF(E99="","Sin definir",IF(ISNUMBER(SEARCH("ITIL",E99)),"ITIL",IF(ISNUMBER(SEARCH("ISO 27001",E99)),"ISO 27001",IF(ISNUMBER(SEARCH("ISO 42001",E99)),"ISO 42001",IF(ISNUMBER(SEARCH("ISO",E99)),"Otras ISO",IF(ISNUMBER(SEARCH("SCRUM",E99)),"SCRUM",IF(ISNUMBER(SEARCH("BRIDGE",E99)),"BRIDGE",IF(ISNUMBER(SEARCH("CDS",E99)),"CDS",IF(ISNUMBER(SEARCH("TOGAF",E99)),"TOGAF",IF(ISNUMBER(SEARCH("DPI",E99)),"DPI",IF(ISNUMBER(SEARCH("DITS",E99)),"DITS",IF(ISNUMBER(SEARCH("AGILE",E99)),"AGILE",IF(ISNUMBER(SEARCH("Ciberseguridad",E99)),"Ciberseguridad","Otros"))))))))))))))</f>
        <v/>
      </c>
      <c r="Q99" s="44" t="str">
        <f aca="false">IF(B99="","",IF(ISNUMBER(K99),IF(K99&lt;=3,"1-3 meses",IF(K99&lt;=6,"4-6 meses","+6 meses")),"Sin dato registrado"))</f>
        <v/>
      </c>
      <c r="R99" s="44" t="str">
        <f aca="false">IF(OR(B99="",M99=""),"",RANK(M99,$M$3:$M$306)+COUNTIF($M$3:M99,M99)-1)</f>
        <v/>
      </c>
    </row>
    <row r="100" customFormat="false" ht="15" hidden="true" customHeight="true" outlineLevel="0" collapsed="false">
      <c r="A100" s="49" t="n">
        <v>22</v>
      </c>
      <c r="C100" s="54"/>
      <c r="M100" s="44" t="str">
        <f aca="false">IF(B100="","",IF(ISNUMBER(I100),I100,IFERROR(VALUE(SUBSTITUTE(SUBSTITUTE(I100,"$",""),".","")),0)))</f>
        <v/>
      </c>
      <c r="N100" s="44" t="str">
        <f aca="false">IF(B100="","",PROPER(TRIM(D100)))</f>
        <v/>
      </c>
      <c r="O100" s="44" t="str">
        <f aca="false">IF(B100="","",IF(OR(ISNUMBER(SEARCH("AL DIA",L100)),ISNUMBER(SEARCH("AL DIA",F100))),"Al día",IF(OR(ISNUMBER(SEARCH("QUIETO",L100)),ISNUMBER(SEARCH("QUIETO",F100)),ISNUMBER(SEARCH("ESPERANDO",L100)),ISNUMBER(SEARCH("ESPERANDO",F100))),"Sin respuesta / Inactivo",IF(OR(ISNUMBER(SEARCH("PENDIENTE",L100)),ISNUMBER(SEARCH("PENDIENTE",F100)),ISNUMBER(SEARCH("COMPROMISO",F100)),ISNUMBER(SEARCH("COMPROMISO",L100)),ISNUMBER(SEARCH("PROCESO",F100)),ISNUMBER(SEARCH("LLAMAR",F100)),ISNUMBER(SEARCH("ABONO",J100)),EXACT(L100,"P"),EXACT(F100,"P")),"Pendiente / Compromiso","Sin gestionar"))))</f>
        <v/>
      </c>
      <c r="P100" s="44" t="str">
        <f aca="false">IF(B100="","",IF(E100="","Sin definir",IF(ISNUMBER(SEARCH("ITIL",E100)),"ITIL",IF(ISNUMBER(SEARCH("ISO 27001",E100)),"ISO 27001",IF(ISNUMBER(SEARCH("ISO 42001",E100)),"ISO 42001",IF(ISNUMBER(SEARCH("ISO",E100)),"Otras ISO",IF(ISNUMBER(SEARCH("SCRUM",E100)),"SCRUM",IF(ISNUMBER(SEARCH("BRIDGE",E100)),"BRIDGE",IF(ISNUMBER(SEARCH("CDS",E100)),"CDS",IF(ISNUMBER(SEARCH("TOGAF",E100)),"TOGAF",IF(ISNUMBER(SEARCH("DPI",E100)),"DPI",IF(ISNUMBER(SEARCH("DITS",E100)),"DITS",IF(ISNUMBER(SEARCH("AGILE",E100)),"AGILE",IF(ISNUMBER(SEARCH("Ciberseguridad",E100)),"Ciberseguridad","Otros"))))))))))))))</f>
        <v/>
      </c>
      <c r="Q100" s="44" t="str">
        <f aca="false">IF(B100="","",IF(ISNUMBER(K100),IF(K100&lt;=3,"1-3 meses",IF(K100&lt;=6,"4-6 meses","+6 meses")),"Sin dato registrado"))</f>
        <v/>
      </c>
      <c r="R100" s="44" t="str">
        <f aca="false">IF(OR(B100="",M100=""),"",RANK(M100,$M$3:$M$306)+COUNTIF($M$3:M100,M100)-1)</f>
        <v/>
      </c>
    </row>
    <row r="101" customFormat="false" ht="15" hidden="true" customHeight="true" outlineLevel="0" collapsed="false">
      <c r="A101" s="50" t="n">
        <v>22</v>
      </c>
      <c r="C101" s="54"/>
      <c r="M101" s="44" t="str">
        <f aca="false">IF(B101="","",IF(ISNUMBER(I101),I101,IFERROR(VALUE(SUBSTITUTE(SUBSTITUTE(I101,"$",""),".","")),0)))</f>
        <v/>
      </c>
      <c r="N101" s="44" t="str">
        <f aca="false">IF(B101="","",PROPER(TRIM(D101)))</f>
        <v/>
      </c>
      <c r="O101" s="44" t="str">
        <f aca="false">IF(B101="","",IF(OR(ISNUMBER(SEARCH("AL DIA",L101)),ISNUMBER(SEARCH("AL DIA",F101))),"Al día",IF(OR(ISNUMBER(SEARCH("QUIETO",L101)),ISNUMBER(SEARCH("QUIETO",F101)),ISNUMBER(SEARCH("ESPERANDO",L101)),ISNUMBER(SEARCH("ESPERANDO",F101))),"Sin respuesta / Inactivo",IF(OR(ISNUMBER(SEARCH("PENDIENTE",L101)),ISNUMBER(SEARCH("PENDIENTE",F101)),ISNUMBER(SEARCH("COMPROMISO",F101)),ISNUMBER(SEARCH("COMPROMISO",L101)),ISNUMBER(SEARCH("PROCESO",F101)),ISNUMBER(SEARCH("LLAMAR",F101)),ISNUMBER(SEARCH("ABONO",J101)),EXACT(L101,"P"),EXACT(F101,"P")),"Pendiente / Compromiso","Sin gestionar"))))</f>
        <v/>
      </c>
      <c r="P101" s="44" t="str">
        <f aca="false">IF(B101="","",IF(E101="","Sin definir",IF(ISNUMBER(SEARCH("ITIL",E101)),"ITIL",IF(ISNUMBER(SEARCH("ISO 27001",E101)),"ISO 27001",IF(ISNUMBER(SEARCH("ISO 42001",E101)),"ISO 42001",IF(ISNUMBER(SEARCH("ISO",E101)),"Otras ISO",IF(ISNUMBER(SEARCH("SCRUM",E101)),"SCRUM",IF(ISNUMBER(SEARCH("BRIDGE",E101)),"BRIDGE",IF(ISNUMBER(SEARCH("CDS",E101)),"CDS",IF(ISNUMBER(SEARCH("TOGAF",E101)),"TOGAF",IF(ISNUMBER(SEARCH("DPI",E101)),"DPI",IF(ISNUMBER(SEARCH("DITS",E101)),"DITS",IF(ISNUMBER(SEARCH("AGILE",E101)),"AGILE",IF(ISNUMBER(SEARCH("Ciberseguridad",E101)),"Ciberseguridad","Otros"))))))))))))))</f>
        <v/>
      </c>
      <c r="Q101" s="44" t="str">
        <f aca="false">IF(B101="","",IF(ISNUMBER(K101),IF(K101&lt;=3,"1-3 meses",IF(K101&lt;=6,"4-6 meses","+6 meses")),"Sin dato registrado"))</f>
        <v/>
      </c>
      <c r="R101" s="44" t="str">
        <f aca="false">IF(OR(B101="",M101=""),"",RANK(M101,$M$3:$M$306)+COUNTIF($M$3:M101,M101)-1)</f>
        <v/>
      </c>
    </row>
    <row r="102" customFormat="false" ht="15" hidden="true" customHeight="true" outlineLevel="0" collapsed="false">
      <c r="A102" s="49" t="n">
        <v>22</v>
      </c>
      <c r="C102" s="54"/>
      <c r="M102" s="44" t="str">
        <f aca="false">IF(B102="","",IF(ISNUMBER(I102),I102,IFERROR(VALUE(SUBSTITUTE(SUBSTITUTE(I102,"$",""),".","")),0)))</f>
        <v/>
      </c>
      <c r="N102" s="44" t="str">
        <f aca="false">IF(B102="","",PROPER(TRIM(D102)))</f>
        <v/>
      </c>
      <c r="O102" s="44" t="str">
        <f aca="false">IF(B102="","",IF(OR(ISNUMBER(SEARCH("AL DIA",L102)),ISNUMBER(SEARCH("AL DIA",F102))),"Al día",IF(OR(ISNUMBER(SEARCH("QUIETO",L102)),ISNUMBER(SEARCH("QUIETO",F102)),ISNUMBER(SEARCH("ESPERANDO",L102)),ISNUMBER(SEARCH("ESPERANDO",F102))),"Sin respuesta / Inactivo",IF(OR(ISNUMBER(SEARCH("PENDIENTE",L102)),ISNUMBER(SEARCH("PENDIENTE",F102)),ISNUMBER(SEARCH("COMPROMISO",F102)),ISNUMBER(SEARCH("COMPROMISO",L102)),ISNUMBER(SEARCH("PROCESO",F102)),ISNUMBER(SEARCH("LLAMAR",F102)),ISNUMBER(SEARCH("ABONO",J102)),EXACT(L102,"P"),EXACT(F102,"P")),"Pendiente / Compromiso","Sin gestionar"))))</f>
        <v/>
      </c>
      <c r="P102" s="44" t="str">
        <f aca="false">IF(B102="","",IF(E102="","Sin definir",IF(ISNUMBER(SEARCH("ITIL",E102)),"ITIL",IF(ISNUMBER(SEARCH("ISO 27001",E102)),"ISO 27001",IF(ISNUMBER(SEARCH("ISO 42001",E102)),"ISO 42001",IF(ISNUMBER(SEARCH("ISO",E102)),"Otras ISO",IF(ISNUMBER(SEARCH("SCRUM",E102)),"SCRUM",IF(ISNUMBER(SEARCH("BRIDGE",E102)),"BRIDGE",IF(ISNUMBER(SEARCH("CDS",E102)),"CDS",IF(ISNUMBER(SEARCH("TOGAF",E102)),"TOGAF",IF(ISNUMBER(SEARCH("DPI",E102)),"DPI",IF(ISNUMBER(SEARCH("DITS",E102)),"DITS",IF(ISNUMBER(SEARCH("AGILE",E102)),"AGILE",IF(ISNUMBER(SEARCH("Ciberseguridad",E102)),"Ciberseguridad","Otros"))))))))))))))</f>
        <v/>
      </c>
      <c r="Q102" s="44" t="str">
        <f aca="false">IF(B102="","",IF(ISNUMBER(K102),IF(K102&lt;=3,"1-3 meses",IF(K102&lt;=6,"4-6 meses","+6 meses")),"Sin dato registrado"))</f>
        <v/>
      </c>
      <c r="R102" s="44" t="str">
        <f aca="false">IF(OR(B102="",M102=""),"",RANK(M102,$M$3:$M$306)+COUNTIF($M$3:M102,M102)-1)</f>
        <v/>
      </c>
    </row>
    <row r="103" customFormat="false" ht="15" hidden="true" customHeight="true" outlineLevel="0" collapsed="false">
      <c r="A103" s="50" t="n">
        <v>22</v>
      </c>
      <c r="C103" s="54"/>
      <c r="M103" s="44" t="str">
        <f aca="false">IF(B103="","",IF(ISNUMBER(I103),I103,IFERROR(VALUE(SUBSTITUTE(SUBSTITUTE(I103,"$",""),".","")),0)))</f>
        <v/>
      </c>
      <c r="N103" s="44" t="str">
        <f aca="false">IF(B103="","",PROPER(TRIM(D103)))</f>
        <v/>
      </c>
      <c r="O103" s="44" t="str">
        <f aca="false">IF(B103="","",IF(OR(ISNUMBER(SEARCH("AL DIA",L103)),ISNUMBER(SEARCH("AL DIA",F103))),"Al día",IF(OR(ISNUMBER(SEARCH("QUIETO",L103)),ISNUMBER(SEARCH("QUIETO",F103)),ISNUMBER(SEARCH("ESPERANDO",L103)),ISNUMBER(SEARCH("ESPERANDO",F103))),"Sin respuesta / Inactivo",IF(OR(ISNUMBER(SEARCH("PENDIENTE",L103)),ISNUMBER(SEARCH("PENDIENTE",F103)),ISNUMBER(SEARCH("COMPROMISO",F103)),ISNUMBER(SEARCH("COMPROMISO",L103)),ISNUMBER(SEARCH("PROCESO",F103)),ISNUMBER(SEARCH("LLAMAR",F103)),ISNUMBER(SEARCH("ABONO",J103)),EXACT(L103,"P"),EXACT(F103,"P")),"Pendiente / Compromiso","Sin gestionar"))))</f>
        <v/>
      </c>
      <c r="P103" s="44" t="str">
        <f aca="false">IF(B103="","",IF(E103="","Sin definir",IF(ISNUMBER(SEARCH("ITIL",E103)),"ITIL",IF(ISNUMBER(SEARCH("ISO 27001",E103)),"ISO 27001",IF(ISNUMBER(SEARCH("ISO 42001",E103)),"ISO 42001",IF(ISNUMBER(SEARCH("ISO",E103)),"Otras ISO",IF(ISNUMBER(SEARCH("SCRUM",E103)),"SCRUM",IF(ISNUMBER(SEARCH("BRIDGE",E103)),"BRIDGE",IF(ISNUMBER(SEARCH("CDS",E103)),"CDS",IF(ISNUMBER(SEARCH("TOGAF",E103)),"TOGAF",IF(ISNUMBER(SEARCH("DPI",E103)),"DPI",IF(ISNUMBER(SEARCH("DITS",E103)),"DITS",IF(ISNUMBER(SEARCH("AGILE",E103)),"AGILE",IF(ISNUMBER(SEARCH("Ciberseguridad",E103)),"Ciberseguridad","Otros"))))))))))))))</f>
        <v/>
      </c>
      <c r="Q103" s="44" t="str">
        <f aca="false">IF(B103="","",IF(ISNUMBER(K103),IF(K103&lt;=3,"1-3 meses",IF(K103&lt;=6,"4-6 meses","+6 meses")),"Sin dato registrado"))</f>
        <v/>
      </c>
      <c r="R103" s="44" t="str">
        <f aca="false">IF(OR(B103="",M103=""),"",RANK(M103,$M$3:$M$306)+COUNTIF($M$3:M103,M103)-1)</f>
        <v/>
      </c>
    </row>
    <row r="104" customFormat="false" ht="15" hidden="true" customHeight="true" outlineLevel="0" collapsed="false">
      <c r="A104" s="49" t="n">
        <v>22</v>
      </c>
      <c r="C104" s="54"/>
      <c r="M104" s="44" t="str">
        <f aca="false">IF(B104="","",IF(ISNUMBER(I104),I104,IFERROR(VALUE(SUBSTITUTE(SUBSTITUTE(I104,"$",""),".","")),0)))</f>
        <v/>
      </c>
      <c r="N104" s="44" t="str">
        <f aca="false">IF(B104="","",PROPER(TRIM(D104)))</f>
        <v/>
      </c>
      <c r="O104" s="44" t="str">
        <f aca="false">IF(B104="","",IF(OR(ISNUMBER(SEARCH("AL DIA",L104)),ISNUMBER(SEARCH("AL DIA",F104))),"Al día",IF(OR(ISNUMBER(SEARCH("QUIETO",L104)),ISNUMBER(SEARCH("QUIETO",F104)),ISNUMBER(SEARCH("ESPERANDO",L104)),ISNUMBER(SEARCH("ESPERANDO",F104))),"Sin respuesta / Inactivo",IF(OR(ISNUMBER(SEARCH("PENDIENTE",L104)),ISNUMBER(SEARCH("PENDIENTE",F104)),ISNUMBER(SEARCH("COMPROMISO",F104)),ISNUMBER(SEARCH("COMPROMISO",L104)),ISNUMBER(SEARCH("PROCESO",F104)),ISNUMBER(SEARCH("LLAMAR",F104)),ISNUMBER(SEARCH("ABONO",J104)),EXACT(L104,"P"),EXACT(F104,"P")),"Pendiente / Compromiso","Sin gestionar"))))</f>
        <v/>
      </c>
      <c r="P104" s="44" t="str">
        <f aca="false">IF(B104="","",IF(E104="","Sin definir",IF(ISNUMBER(SEARCH("ITIL",E104)),"ITIL",IF(ISNUMBER(SEARCH("ISO 27001",E104)),"ISO 27001",IF(ISNUMBER(SEARCH("ISO 42001",E104)),"ISO 42001",IF(ISNUMBER(SEARCH("ISO",E104)),"Otras ISO",IF(ISNUMBER(SEARCH("SCRUM",E104)),"SCRUM",IF(ISNUMBER(SEARCH("BRIDGE",E104)),"BRIDGE",IF(ISNUMBER(SEARCH("CDS",E104)),"CDS",IF(ISNUMBER(SEARCH("TOGAF",E104)),"TOGAF",IF(ISNUMBER(SEARCH("DPI",E104)),"DPI",IF(ISNUMBER(SEARCH("DITS",E104)),"DITS",IF(ISNUMBER(SEARCH("AGILE",E104)),"AGILE",IF(ISNUMBER(SEARCH("Ciberseguridad",E104)),"Ciberseguridad","Otros"))))))))))))))</f>
        <v/>
      </c>
      <c r="Q104" s="44" t="str">
        <f aca="false">IF(B104="","",IF(ISNUMBER(K104),IF(K104&lt;=3,"1-3 meses",IF(K104&lt;=6,"4-6 meses","+6 meses")),"Sin dato registrado"))</f>
        <v/>
      </c>
      <c r="R104" s="44" t="str">
        <f aca="false">IF(OR(B104="",M104=""),"",RANK(M104,$M$3:$M$306)+COUNTIF($M$3:M104,M104)-1)</f>
        <v/>
      </c>
    </row>
    <row r="105" customFormat="false" ht="15" hidden="true" customHeight="true" outlineLevel="0" collapsed="false">
      <c r="A105" s="50" t="n">
        <v>22</v>
      </c>
      <c r="C105" s="54"/>
      <c r="M105" s="44" t="str">
        <f aca="false">IF(B105="","",IF(ISNUMBER(I105),I105,IFERROR(VALUE(SUBSTITUTE(SUBSTITUTE(I105,"$",""),".","")),0)))</f>
        <v/>
      </c>
      <c r="N105" s="44" t="str">
        <f aca="false">IF(B105="","",PROPER(TRIM(D105)))</f>
        <v/>
      </c>
      <c r="O105" s="44" t="str">
        <f aca="false">IF(B105="","",IF(OR(ISNUMBER(SEARCH("AL DIA",L105)),ISNUMBER(SEARCH("AL DIA",F105))),"Al día",IF(OR(ISNUMBER(SEARCH("QUIETO",L105)),ISNUMBER(SEARCH("QUIETO",F105)),ISNUMBER(SEARCH("ESPERANDO",L105)),ISNUMBER(SEARCH("ESPERANDO",F105))),"Sin respuesta / Inactivo",IF(OR(ISNUMBER(SEARCH("PENDIENTE",L105)),ISNUMBER(SEARCH("PENDIENTE",F105)),ISNUMBER(SEARCH("COMPROMISO",F105)),ISNUMBER(SEARCH("COMPROMISO",L105)),ISNUMBER(SEARCH("PROCESO",F105)),ISNUMBER(SEARCH("LLAMAR",F105)),ISNUMBER(SEARCH("ABONO",J105)),EXACT(L105,"P"),EXACT(F105,"P")),"Pendiente / Compromiso","Sin gestionar"))))</f>
        <v/>
      </c>
      <c r="P105" s="44" t="str">
        <f aca="false">IF(B105="","",IF(E105="","Sin definir",IF(ISNUMBER(SEARCH("ITIL",E105)),"ITIL",IF(ISNUMBER(SEARCH("ISO 27001",E105)),"ISO 27001",IF(ISNUMBER(SEARCH("ISO 42001",E105)),"ISO 42001",IF(ISNUMBER(SEARCH("ISO",E105)),"Otras ISO",IF(ISNUMBER(SEARCH("SCRUM",E105)),"SCRUM",IF(ISNUMBER(SEARCH("BRIDGE",E105)),"BRIDGE",IF(ISNUMBER(SEARCH("CDS",E105)),"CDS",IF(ISNUMBER(SEARCH("TOGAF",E105)),"TOGAF",IF(ISNUMBER(SEARCH("DPI",E105)),"DPI",IF(ISNUMBER(SEARCH("DITS",E105)),"DITS",IF(ISNUMBER(SEARCH("AGILE",E105)),"AGILE",IF(ISNUMBER(SEARCH("Ciberseguridad",E105)),"Ciberseguridad","Otros"))))))))))))))</f>
        <v/>
      </c>
      <c r="Q105" s="44" t="str">
        <f aca="false">IF(B105="","",IF(ISNUMBER(K105),IF(K105&lt;=3,"1-3 meses",IF(K105&lt;=6,"4-6 meses","+6 meses")),"Sin dato registrado"))</f>
        <v/>
      </c>
      <c r="R105" s="44" t="str">
        <f aca="false">IF(OR(B105="",M105=""),"",RANK(M105,$M$3:$M$306)+COUNTIF($M$3:M105,M105)-1)</f>
        <v/>
      </c>
    </row>
    <row r="106" customFormat="false" ht="15" hidden="true" customHeight="true" outlineLevel="0" collapsed="false">
      <c r="A106" s="49" t="n">
        <v>22</v>
      </c>
      <c r="C106" s="54"/>
      <c r="M106" s="44" t="str">
        <f aca="false">IF(B106="","",IF(ISNUMBER(I106),I106,IFERROR(VALUE(SUBSTITUTE(SUBSTITUTE(I106,"$",""),".","")),0)))</f>
        <v/>
      </c>
      <c r="N106" s="44" t="str">
        <f aca="false">IF(B106="","",PROPER(TRIM(D106)))</f>
        <v/>
      </c>
      <c r="O106" s="44" t="str">
        <f aca="false">IF(B106="","",IF(OR(ISNUMBER(SEARCH("AL DIA",L106)),ISNUMBER(SEARCH("AL DIA",F106))),"Al día",IF(OR(ISNUMBER(SEARCH("QUIETO",L106)),ISNUMBER(SEARCH("QUIETO",F106)),ISNUMBER(SEARCH("ESPERANDO",L106)),ISNUMBER(SEARCH("ESPERANDO",F106))),"Sin respuesta / Inactivo",IF(OR(ISNUMBER(SEARCH("PENDIENTE",L106)),ISNUMBER(SEARCH("PENDIENTE",F106)),ISNUMBER(SEARCH("COMPROMISO",F106)),ISNUMBER(SEARCH("COMPROMISO",L106)),ISNUMBER(SEARCH("PROCESO",F106)),ISNUMBER(SEARCH("LLAMAR",F106)),ISNUMBER(SEARCH("ABONO",J106)),EXACT(L106,"P"),EXACT(F106,"P")),"Pendiente / Compromiso","Sin gestionar"))))</f>
        <v/>
      </c>
      <c r="P106" s="44" t="str">
        <f aca="false">IF(B106="","",IF(E106="","Sin definir",IF(ISNUMBER(SEARCH("ITIL",E106)),"ITIL",IF(ISNUMBER(SEARCH("ISO 27001",E106)),"ISO 27001",IF(ISNUMBER(SEARCH("ISO 42001",E106)),"ISO 42001",IF(ISNUMBER(SEARCH("ISO",E106)),"Otras ISO",IF(ISNUMBER(SEARCH("SCRUM",E106)),"SCRUM",IF(ISNUMBER(SEARCH("BRIDGE",E106)),"BRIDGE",IF(ISNUMBER(SEARCH("CDS",E106)),"CDS",IF(ISNUMBER(SEARCH("TOGAF",E106)),"TOGAF",IF(ISNUMBER(SEARCH("DPI",E106)),"DPI",IF(ISNUMBER(SEARCH("DITS",E106)),"DITS",IF(ISNUMBER(SEARCH("AGILE",E106)),"AGILE",IF(ISNUMBER(SEARCH("Ciberseguridad",E106)),"Ciberseguridad","Otros"))))))))))))))</f>
        <v/>
      </c>
      <c r="Q106" s="44" t="str">
        <f aca="false">IF(B106="","",IF(ISNUMBER(K106),IF(K106&lt;=3,"1-3 meses",IF(K106&lt;=6,"4-6 meses","+6 meses")),"Sin dato registrado"))</f>
        <v/>
      </c>
      <c r="R106" s="44" t="str">
        <f aca="false">IF(OR(B106="",M106=""),"",RANK(M106,$M$3:$M$306)+COUNTIF($M$3:M106,M106)-1)</f>
        <v/>
      </c>
    </row>
    <row r="107" customFormat="false" ht="15" hidden="true" customHeight="true" outlineLevel="0" collapsed="false">
      <c r="A107" s="49"/>
      <c r="C107" s="54"/>
      <c r="M107" s="44"/>
      <c r="N107" s="44"/>
      <c r="O107" s="44"/>
      <c r="P107" s="44"/>
      <c r="Q107" s="44"/>
      <c r="R107" s="44"/>
    </row>
    <row r="108" customFormat="false" ht="15" hidden="true" customHeight="true" outlineLevel="0" collapsed="false">
      <c r="A108" s="49"/>
      <c r="C108" s="54"/>
      <c r="M108" s="44"/>
      <c r="N108" s="44"/>
      <c r="O108" s="44"/>
      <c r="P108" s="44"/>
      <c r="Q108" s="44"/>
      <c r="R108" s="44"/>
    </row>
    <row r="109" customFormat="false" ht="15" hidden="true" customHeight="true" outlineLevel="0" collapsed="false">
      <c r="A109" s="49"/>
      <c r="C109" s="54"/>
      <c r="M109" s="44"/>
      <c r="N109" s="44"/>
      <c r="O109" s="44"/>
      <c r="P109" s="44"/>
      <c r="Q109" s="44"/>
      <c r="R109" s="44"/>
    </row>
    <row r="110" customFormat="false" ht="15" hidden="true" customHeight="true" outlineLevel="0" collapsed="false">
      <c r="A110" s="49"/>
      <c r="C110" s="54"/>
      <c r="M110" s="44"/>
      <c r="N110" s="44"/>
      <c r="O110" s="44"/>
      <c r="P110" s="44"/>
      <c r="Q110" s="44"/>
      <c r="R110" s="44"/>
    </row>
    <row r="111" customFormat="false" ht="15" hidden="true" customHeight="true" outlineLevel="0" collapsed="false">
      <c r="A111" s="49"/>
      <c r="C111" s="54"/>
      <c r="M111" s="44"/>
      <c r="N111" s="44"/>
      <c r="O111" s="44"/>
      <c r="P111" s="44"/>
      <c r="Q111" s="44"/>
      <c r="R111" s="44"/>
    </row>
    <row r="112" customFormat="false" ht="15" hidden="true" customHeight="true" outlineLevel="0" collapsed="false">
      <c r="A112" s="49"/>
      <c r="C112" s="54"/>
      <c r="M112" s="44"/>
      <c r="N112" s="44"/>
      <c r="O112" s="44"/>
      <c r="P112" s="44"/>
      <c r="Q112" s="44"/>
      <c r="R112" s="44"/>
    </row>
    <row r="113" customFormat="false" ht="15" hidden="true" customHeight="true" outlineLevel="0" collapsed="false">
      <c r="A113" s="50" t="n">
        <v>22</v>
      </c>
      <c r="C113" s="54"/>
      <c r="M113" s="44" t="str">
        <f aca="false">IF(B113="","",IF(ISNUMBER(I113),I113,IFERROR(VALUE(SUBSTITUTE(SUBSTITUTE(I113,"$",""),".","")),0)))</f>
        <v/>
      </c>
      <c r="N113" s="44" t="str">
        <f aca="false">IF(B113="","",PROPER(TRIM(D113)))</f>
        <v/>
      </c>
      <c r="O113" s="44" t="str">
        <f aca="false">IF(B113="","",IF(OR(ISNUMBER(SEARCH("AL DIA",L113)),ISNUMBER(SEARCH("AL DIA",F113))),"Al día",IF(OR(ISNUMBER(SEARCH("QUIETO",L113)),ISNUMBER(SEARCH("QUIETO",F113)),ISNUMBER(SEARCH("ESPERANDO",L113)),ISNUMBER(SEARCH("ESPERANDO",F113))),"Sin respuesta / Inactivo",IF(OR(ISNUMBER(SEARCH("PENDIENTE",L113)),ISNUMBER(SEARCH("PENDIENTE",F113)),ISNUMBER(SEARCH("COMPROMISO",F113)),ISNUMBER(SEARCH("COMPROMISO",L113)),ISNUMBER(SEARCH("PROCESO",F113)),ISNUMBER(SEARCH("LLAMAR",F113)),ISNUMBER(SEARCH("ABONO",J113)),EXACT(L113,"P"),EXACT(F113,"P")),"Pendiente / Compromiso","Sin gestionar"))))</f>
        <v/>
      </c>
      <c r="P113" s="44" t="str">
        <f aca="false">IF(B113="","",IF(E113="","Sin definir",IF(ISNUMBER(SEARCH("ITIL",E113)),"ITIL",IF(ISNUMBER(SEARCH("ISO 27001",E113)),"ISO 27001",IF(ISNUMBER(SEARCH("ISO 42001",E113)),"ISO 42001",IF(ISNUMBER(SEARCH("ISO",E113)),"Otras ISO",IF(ISNUMBER(SEARCH("SCRUM",E113)),"SCRUM",IF(ISNUMBER(SEARCH("BRIDGE",E113)),"BRIDGE",IF(ISNUMBER(SEARCH("CDS",E113)),"CDS",IF(ISNUMBER(SEARCH("TOGAF",E113)),"TOGAF",IF(ISNUMBER(SEARCH("DPI",E113)),"DPI",IF(ISNUMBER(SEARCH("DITS",E113)),"DITS",IF(ISNUMBER(SEARCH("AGILE",E113)),"AGILE",IF(ISNUMBER(SEARCH("Ciberseguridad",E113)),"Ciberseguridad","Otros"))))))))))))))</f>
        <v/>
      </c>
      <c r="Q113" s="44" t="str">
        <f aca="false">IF(B113="","",IF(ISNUMBER(K113),IF(K113&lt;=3,"1-3 meses",IF(K113&lt;=6,"4-6 meses","+6 meses")),"Sin dato registrado"))</f>
        <v/>
      </c>
      <c r="R113" s="44" t="str">
        <f aca="false">IF(OR(B113="",M113=""),"",RANK(M113,$M$3:$M$306)+COUNTIF($M$3:M113,M113)-1)</f>
        <v/>
      </c>
    </row>
    <row r="114" customFormat="false" ht="15" hidden="true" customHeight="true" outlineLevel="0" collapsed="false">
      <c r="A114" s="49" t="n">
        <v>22</v>
      </c>
      <c r="C114" s="54"/>
      <c r="M114" s="44" t="str">
        <f aca="false">IF(B114="","",IF(ISNUMBER(I114),I114,IFERROR(VALUE(SUBSTITUTE(SUBSTITUTE(I114,"$",""),".","")),0)))</f>
        <v/>
      </c>
      <c r="N114" s="44" t="str">
        <f aca="false">IF(B114="","",PROPER(TRIM(D114)))</f>
        <v/>
      </c>
      <c r="O114" s="44" t="str">
        <f aca="false">IF(B114="","",IF(OR(ISNUMBER(SEARCH("AL DIA",L114)),ISNUMBER(SEARCH("AL DIA",F114))),"Al día",IF(OR(ISNUMBER(SEARCH("QUIETO",L114)),ISNUMBER(SEARCH("QUIETO",F114)),ISNUMBER(SEARCH("ESPERANDO",L114)),ISNUMBER(SEARCH("ESPERANDO",F114))),"Sin respuesta / Inactivo",IF(OR(ISNUMBER(SEARCH("PENDIENTE",L114)),ISNUMBER(SEARCH("PENDIENTE",F114)),ISNUMBER(SEARCH("COMPROMISO",F114)),ISNUMBER(SEARCH("COMPROMISO",L114)),ISNUMBER(SEARCH("PROCESO",F114)),ISNUMBER(SEARCH("LLAMAR",F114)),ISNUMBER(SEARCH("ABONO",J114)),EXACT(L114,"P"),EXACT(F114,"P")),"Pendiente / Compromiso","Sin gestionar"))))</f>
        <v/>
      </c>
      <c r="P114" s="44" t="str">
        <f aca="false">IF(B114="","",IF(E114="","Sin definir",IF(ISNUMBER(SEARCH("ITIL",E114)),"ITIL",IF(ISNUMBER(SEARCH("ISO 27001",E114)),"ISO 27001",IF(ISNUMBER(SEARCH("ISO 42001",E114)),"ISO 42001",IF(ISNUMBER(SEARCH("ISO",E114)),"Otras ISO",IF(ISNUMBER(SEARCH("SCRUM",E114)),"SCRUM",IF(ISNUMBER(SEARCH("BRIDGE",E114)),"BRIDGE",IF(ISNUMBER(SEARCH("CDS",E114)),"CDS",IF(ISNUMBER(SEARCH("TOGAF",E114)),"TOGAF",IF(ISNUMBER(SEARCH("DPI",E114)),"DPI",IF(ISNUMBER(SEARCH("DITS",E114)),"DITS",IF(ISNUMBER(SEARCH("AGILE",E114)),"AGILE",IF(ISNUMBER(SEARCH("Ciberseguridad",E114)),"Ciberseguridad","Otros"))))))))))))))</f>
        <v/>
      </c>
      <c r="Q114" s="44" t="str">
        <f aca="false">IF(B114="","",IF(ISNUMBER(K114),IF(K114&lt;=3,"1-3 meses",IF(K114&lt;=6,"4-6 meses","+6 meses")),"Sin dato registrado"))</f>
        <v/>
      </c>
      <c r="R114" s="44" t="str">
        <f aca="false">IF(OR(B114="",M114=""),"",RANK(M114,$M$3:$M$306)+COUNTIF($M$3:M114,M114)-1)</f>
        <v/>
      </c>
    </row>
    <row r="115" customFormat="false" ht="15" hidden="true" customHeight="true" outlineLevel="0" collapsed="false">
      <c r="A115" s="50" t="n">
        <v>22</v>
      </c>
      <c r="C115" s="54"/>
      <c r="M115" s="44" t="str">
        <f aca="false">IF(B115="","",IF(ISNUMBER(I115),I115,IFERROR(VALUE(SUBSTITUTE(SUBSTITUTE(I115,"$",""),".","")),0)))</f>
        <v/>
      </c>
      <c r="N115" s="44" t="str">
        <f aca="false">IF(B115="","",PROPER(TRIM(D115)))</f>
        <v/>
      </c>
      <c r="O115" s="44" t="str">
        <f aca="false">IF(B115="","",IF(OR(ISNUMBER(SEARCH("AL DIA",L115)),ISNUMBER(SEARCH("AL DIA",F115))),"Al día",IF(OR(ISNUMBER(SEARCH("QUIETO",L115)),ISNUMBER(SEARCH("QUIETO",F115)),ISNUMBER(SEARCH("ESPERANDO",L115)),ISNUMBER(SEARCH("ESPERANDO",F115))),"Sin respuesta / Inactivo",IF(OR(ISNUMBER(SEARCH("PENDIENTE",L115)),ISNUMBER(SEARCH("PENDIENTE",F115)),ISNUMBER(SEARCH("COMPROMISO",F115)),ISNUMBER(SEARCH("COMPROMISO",L115)),ISNUMBER(SEARCH("PROCESO",F115)),ISNUMBER(SEARCH("LLAMAR",F115)),ISNUMBER(SEARCH("ABONO",J115)),EXACT(L115,"P"),EXACT(F115,"P")),"Pendiente / Compromiso","Sin gestionar"))))</f>
        <v/>
      </c>
      <c r="P115" s="44" t="str">
        <f aca="false">IF(B115="","",IF(E115="","Sin definir",IF(ISNUMBER(SEARCH("ITIL",E115)),"ITIL",IF(ISNUMBER(SEARCH("ISO 27001",E115)),"ISO 27001",IF(ISNUMBER(SEARCH("ISO 42001",E115)),"ISO 42001",IF(ISNUMBER(SEARCH("ISO",E115)),"Otras ISO",IF(ISNUMBER(SEARCH("SCRUM",E115)),"SCRUM",IF(ISNUMBER(SEARCH("BRIDGE",E115)),"BRIDGE",IF(ISNUMBER(SEARCH("CDS",E115)),"CDS",IF(ISNUMBER(SEARCH("TOGAF",E115)),"TOGAF",IF(ISNUMBER(SEARCH("DPI",E115)),"DPI",IF(ISNUMBER(SEARCH("DITS",E115)),"DITS",IF(ISNUMBER(SEARCH("AGILE",E115)),"AGILE",IF(ISNUMBER(SEARCH("Ciberseguridad",E115)),"Ciberseguridad","Otros"))))))))))))))</f>
        <v/>
      </c>
      <c r="Q115" s="44" t="str">
        <f aca="false">IF(B115="","",IF(ISNUMBER(K115),IF(K115&lt;=3,"1-3 meses",IF(K115&lt;=6,"4-6 meses","+6 meses")),"Sin dato registrado"))</f>
        <v/>
      </c>
      <c r="R115" s="44" t="str">
        <f aca="false">IF(OR(B115="",M115=""),"",RANK(M115,$M$3:$M$306)+COUNTIF($M$3:M115,M115)-1)</f>
        <v/>
      </c>
    </row>
    <row r="116" customFormat="false" ht="15" hidden="true" customHeight="true" outlineLevel="0" collapsed="false">
      <c r="A116" s="49" t="n">
        <v>22</v>
      </c>
      <c r="C116" s="54"/>
      <c r="M116" s="44" t="str">
        <f aca="false">IF(B116="","",IF(ISNUMBER(I116),I116,IFERROR(VALUE(SUBSTITUTE(SUBSTITUTE(I116,"$",""),".","")),0)))</f>
        <v/>
      </c>
      <c r="N116" s="44" t="str">
        <f aca="false">IF(B116="","",PROPER(TRIM(D116)))</f>
        <v/>
      </c>
      <c r="O116" s="44" t="str">
        <f aca="false">IF(B116="","",IF(OR(ISNUMBER(SEARCH("AL DIA",L116)),ISNUMBER(SEARCH("AL DIA",F116))),"Al día",IF(OR(ISNUMBER(SEARCH("QUIETO",L116)),ISNUMBER(SEARCH("QUIETO",F116)),ISNUMBER(SEARCH("ESPERANDO",L116)),ISNUMBER(SEARCH("ESPERANDO",F116))),"Sin respuesta / Inactivo",IF(OR(ISNUMBER(SEARCH("PENDIENTE",L116)),ISNUMBER(SEARCH("PENDIENTE",F116)),ISNUMBER(SEARCH("COMPROMISO",F116)),ISNUMBER(SEARCH("COMPROMISO",L116)),ISNUMBER(SEARCH("PROCESO",F116)),ISNUMBER(SEARCH("LLAMAR",F116)),ISNUMBER(SEARCH("ABONO",J116)),EXACT(L116,"P"),EXACT(F116,"P")),"Pendiente / Compromiso","Sin gestionar"))))</f>
        <v/>
      </c>
      <c r="P116" s="44" t="str">
        <f aca="false">IF(B116="","",IF(E116="","Sin definir",IF(ISNUMBER(SEARCH("ITIL",E116)),"ITIL",IF(ISNUMBER(SEARCH("ISO 27001",E116)),"ISO 27001",IF(ISNUMBER(SEARCH("ISO 42001",E116)),"ISO 42001",IF(ISNUMBER(SEARCH("ISO",E116)),"Otras ISO",IF(ISNUMBER(SEARCH("SCRUM",E116)),"SCRUM",IF(ISNUMBER(SEARCH("BRIDGE",E116)),"BRIDGE",IF(ISNUMBER(SEARCH("CDS",E116)),"CDS",IF(ISNUMBER(SEARCH("TOGAF",E116)),"TOGAF",IF(ISNUMBER(SEARCH("DPI",E116)),"DPI",IF(ISNUMBER(SEARCH("DITS",E116)),"DITS",IF(ISNUMBER(SEARCH("AGILE",E116)),"AGILE",IF(ISNUMBER(SEARCH("Ciberseguridad",E116)),"Ciberseguridad","Otros"))))))))))))))</f>
        <v/>
      </c>
      <c r="Q116" s="44" t="str">
        <f aca="false">IF(B116="","",IF(ISNUMBER(K116),IF(K116&lt;=3,"1-3 meses",IF(K116&lt;=6,"4-6 meses","+6 meses")),"Sin dato registrado"))</f>
        <v/>
      </c>
      <c r="R116" s="44" t="str">
        <f aca="false">IF(OR(B116="",M116=""),"",RANK(M116,$M$3:$M$306)+COUNTIF($M$3:M116,M116)-1)</f>
        <v/>
      </c>
    </row>
    <row r="117" customFormat="false" ht="15" hidden="true" customHeight="true" outlineLevel="0" collapsed="false">
      <c r="A117" s="50" t="n">
        <v>22</v>
      </c>
      <c r="C117" s="54"/>
      <c r="M117" s="44" t="str">
        <f aca="false">IF(B117="","",IF(ISNUMBER(I117),I117,IFERROR(VALUE(SUBSTITUTE(SUBSTITUTE(I117,"$",""),".","")),0)))</f>
        <v/>
      </c>
      <c r="N117" s="44" t="str">
        <f aca="false">IF(B117="","",PROPER(TRIM(D117)))</f>
        <v/>
      </c>
      <c r="O117" s="44" t="str">
        <f aca="false">IF(B117="","",IF(OR(ISNUMBER(SEARCH("AL DIA",L117)),ISNUMBER(SEARCH("AL DIA",F117))),"Al día",IF(OR(ISNUMBER(SEARCH("QUIETO",L117)),ISNUMBER(SEARCH("QUIETO",F117)),ISNUMBER(SEARCH("ESPERANDO",L117)),ISNUMBER(SEARCH("ESPERANDO",F117))),"Sin respuesta / Inactivo",IF(OR(ISNUMBER(SEARCH("PENDIENTE",L117)),ISNUMBER(SEARCH("PENDIENTE",F117)),ISNUMBER(SEARCH("COMPROMISO",F117)),ISNUMBER(SEARCH("COMPROMISO",L117)),ISNUMBER(SEARCH("PROCESO",F117)),ISNUMBER(SEARCH("LLAMAR",F117)),ISNUMBER(SEARCH("ABONO",J117)),EXACT(L117,"P"),EXACT(F117,"P")),"Pendiente / Compromiso","Sin gestionar"))))</f>
        <v/>
      </c>
      <c r="P117" s="44" t="str">
        <f aca="false">IF(B117="","",IF(E117="","Sin definir",IF(ISNUMBER(SEARCH("ITIL",E117)),"ITIL",IF(ISNUMBER(SEARCH("ISO 27001",E117)),"ISO 27001",IF(ISNUMBER(SEARCH("ISO 42001",E117)),"ISO 42001",IF(ISNUMBER(SEARCH("ISO",E117)),"Otras ISO",IF(ISNUMBER(SEARCH("SCRUM",E117)),"SCRUM",IF(ISNUMBER(SEARCH("BRIDGE",E117)),"BRIDGE",IF(ISNUMBER(SEARCH("CDS",E117)),"CDS",IF(ISNUMBER(SEARCH("TOGAF",E117)),"TOGAF",IF(ISNUMBER(SEARCH("DPI",E117)),"DPI",IF(ISNUMBER(SEARCH("DITS",E117)),"DITS",IF(ISNUMBER(SEARCH("AGILE",E117)),"AGILE",IF(ISNUMBER(SEARCH("Ciberseguridad",E117)),"Ciberseguridad","Otros"))))))))))))))</f>
        <v/>
      </c>
      <c r="Q117" s="44" t="str">
        <f aca="false">IF(B117="","",IF(ISNUMBER(K117),IF(K117&lt;=3,"1-3 meses",IF(K117&lt;=6,"4-6 meses","+6 meses")),"Sin dato registrado"))</f>
        <v/>
      </c>
      <c r="R117" s="44" t="str">
        <f aca="false">IF(OR(B117="",M117=""),"",RANK(M117,$M$3:$M$306)+COUNTIF($M$3:M117,M117)-1)</f>
        <v/>
      </c>
    </row>
    <row r="118" customFormat="false" ht="15" hidden="true" customHeight="true" outlineLevel="0" collapsed="false">
      <c r="A118" s="49" t="n">
        <v>22</v>
      </c>
      <c r="C118" s="54"/>
      <c r="M118" s="44" t="str">
        <f aca="false">IF(B118="","",IF(ISNUMBER(I118),I118,IFERROR(VALUE(SUBSTITUTE(SUBSTITUTE(I118,"$",""),".","")),0)))</f>
        <v/>
      </c>
      <c r="N118" s="44" t="str">
        <f aca="false">IF(B118="","",PROPER(TRIM(D118)))</f>
        <v/>
      </c>
      <c r="O118" s="44" t="str">
        <f aca="false">IF(B118="","",IF(OR(ISNUMBER(SEARCH("AL DIA",L118)),ISNUMBER(SEARCH("AL DIA",F118))),"Al día",IF(OR(ISNUMBER(SEARCH("QUIETO",L118)),ISNUMBER(SEARCH("QUIETO",F118)),ISNUMBER(SEARCH("ESPERANDO",L118)),ISNUMBER(SEARCH("ESPERANDO",F118))),"Sin respuesta / Inactivo",IF(OR(ISNUMBER(SEARCH("PENDIENTE",L118)),ISNUMBER(SEARCH("PENDIENTE",F118)),ISNUMBER(SEARCH("COMPROMISO",F118)),ISNUMBER(SEARCH("COMPROMISO",L118)),ISNUMBER(SEARCH("PROCESO",F118)),ISNUMBER(SEARCH("LLAMAR",F118)),ISNUMBER(SEARCH("ABONO",J118)),EXACT(L118,"P"),EXACT(F118,"P")),"Pendiente / Compromiso","Sin gestionar"))))</f>
        <v/>
      </c>
      <c r="P118" s="44" t="str">
        <f aca="false">IF(B118="","",IF(E118="","Sin definir",IF(ISNUMBER(SEARCH("ITIL",E118)),"ITIL",IF(ISNUMBER(SEARCH("ISO 27001",E118)),"ISO 27001",IF(ISNUMBER(SEARCH("ISO 42001",E118)),"ISO 42001",IF(ISNUMBER(SEARCH("ISO",E118)),"Otras ISO",IF(ISNUMBER(SEARCH("SCRUM",E118)),"SCRUM",IF(ISNUMBER(SEARCH("BRIDGE",E118)),"BRIDGE",IF(ISNUMBER(SEARCH("CDS",E118)),"CDS",IF(ISNUMBER(SEARCH("TOGAF",E118)),"TOGAF",IF(ISNUMBER(SEARCH("DPI",E118)),"DPI",IF(ISNUMBER(SEARCH("DITS",E118)),"DITS",IF(ISNUMBER(SEARCH("AGILE",E118)),"AGILE",IF(ISNUMBER(SEARCH("Ciberseguridad",E118)),"Ciberseguridad","Otros"))))))))))))))</f>
        <v/>
      </c>
      <c r="Q118" s="44" t="str">
        <f aca="false">IF(B118="","",IF(ISNUMBER(K118),IF(K118&lt;=3,"1-3 meses",IF(K118&lt;=6,"4-6 meses","+6 meses")),"Sin dato registrado"))</f>
        <v/>
      </c>
      <c r="R118" s="44" t="str">
        <f aca="false">IF(OR(B118="",M118=""),"",RANK(M118,$M$3:$M$306)+COUNTIF($M$3:M118,M118)-1)</f>
        <v/>
      </c>
    </row>
    <row r="119" customFormat="false" ht="15" hidden="true" customHeight="true" outlineLevel="0" collapsed="false">
      <c r="A119" s="50" t="n">
        <v>22</v>
      </c>
      <c r="C119" s="54"/>
      <c r="M119" s="44" t="str">
        <f aca="false">IF(B119="","",IF(ISNUMBER(I119),I119,IFERROR(VALUE(SUBSTITUTE(SUBSTITUTE(I119,"$",""),".","")),0)))</f>
        <v/>
      </c>
      <c r="N119" s="44" t="str">
        <f aca="false">IF(B119="","",PROPER(TRIM(D119)))</f>
        <v/>
      </c>
      <c r="O119" s="44" t="str">
        <f aca="false">IF(B119="","",IF(OR(ISNUMBER(SEARCH("AL DIA",L119)),ISNUMBER(SEARCH("AL DIA",F119))),"Al día",IF(OR(ISNUMBER(SEARCH("QUIETO",L119)),ISNUMBER(SEARCH("QUIETO",F119)),ISNUMBER(SEARCH("ESPERANDO",L119)),ISNUMBER(SEARCH("ESPERANDO",F119))),"Sin respuesta / Inactivo",IF(OR(ISNUMBER(SEARCH("PENDIENTE",L119)),ISNUMBER(SEARCH("PENDIENTE",F119)),ISNUMBER(SEARCH("COMPROMISO",F119)),ISNUMBER(SEARCH("COMPROMISO",L119)),ISNUMBER(SEARCH("PROCESO",F119)),ISNUMBER(SEARCH("LLAMAR",F119)),ISNUMBER(SEARCH("ABONO",J119)),EXACT(L119,"P"),EXACT(F119,"P")),"Pendiente / Compromiso","Sin gestionar"))))</f>
        <v/>
      </c>
      <c r="P119" s="44" t="str">
        <f aca="false">IF(B119="","",IF(E119="","Sin definir",IF(ISNUMBER(SEARCH("ITIL",E119)),"ITIL",IF(ISNUMBER(SEARCH("ISO 27001",E119)),"ISO 27001",IF(ISNUMBER(SEARCH("ISO 42001",E119)),"ISO 42001",IF(ISNUMBER(SEARCH("ISO",E119)),"Otras ISO",IF(ISNUMBER(SEARCH("SCRUM",E119)),"SCRUM",IF(ISNUMBER(SEARCH("BRIDGE",E119)),"BRIDGE",IF(ISNUMBER(SEARCH("CDS",E119)),"CDS",IF(ISNUMBER(SEARCH("TOGAF",E119)),"TOGAF",IF(ISNUMBER(SEARCH("DPI",E119)),"DPI",IF(ISNUMBER(SEARCH("DITS",E119)),"DITS",IF(ISNUMBER(SEARCH("AGILE",E119)),"AGILE",IF(ISNUMBER(SEARCH("Ciberseguridad",E119)),"Ciberseguridad","Otros"))))))))))))))</f>
        <v/>
      </c>
      <c r="Q119" s="44" t="str">
        <f aca="false">IF(B119="","",IF(ISNUMBER(K119),IF(K119&lt;=3,"1-3 meses",IF(K119&lt;=6,"4-6 meses","+6 meses")),"Sin dato registrado"))</f>
        <v/>
      </c>
      <c r="R119" s="44" t="str">
        <f aca="false">IF(OR(B119="",M119=""),"",RANK(M119,$M$3:$M$306)+COUNTIF($M$3:M119,M119)-1)</f>
        <v/>
      </c>
    </row>
    <row r="120" customFormat="false" ht="15" hidden="true" customHeight="true" outlineLevel="0" collapsed="false">
      <c r="A120" s="49" t="n">
        <v>22</v>
      </c>
      <c r="C120" s="54"/>
      <c r="M120" s="44" t="str">
        <f aca="false">IF(B120="","",IF(ISNUMBER(I120),I120,IFERROR(VALUE(SUBSTITUTE(SUBSTITUTE(I120,"$",""),".","")),0)))</f>
        <v/>
      </c>
      <c r="N120" s="44" t="str">
        <f aca="false">IF(B120="","",PROPER(TRIM(D120)))</f>
        <v/>
      </c>
      <c r="O120" s="44" t="str">
        <f aca="false">IF(B120="","",IF(OR(ISNUMBER(SEARCH("AL DIA",L120)),ISNUMBER(SEARCH("AL DIA",F120))),"Al día",IF(OR(ISNUMBER(SEARCH("QUIETO",L120)),ISNUMBER(SEARCH("QUIETO",F120)),ISNUMBER(SEARCH("ESPERANDO",L120)),ISNUMBER(SEARCH("ESPERANDO",F120))),"Sin respuesta / Inactivo",IF(OR(ISNUMBER(SEARCH("PENDIENTE",L120)),ISNUMBER(SEARCH("PENDIENTE",F120)),ISNUMBER(SEARCH("COMPROMISO",F120)),ISNUMBER(SEARCH("COMPROMISO",L120)),ISNUMBER(SEARCH("PROCESO",F120)),ISNUMBER(SEARCH("LLAMAR",F120)),ISNUMBER(SEARCH("ABONO",J120)),EXACT(L120,"P"),EXACT(F120,"P")),"Pendiente / Compromiso","Sin gestionar"))))</f>
        <v/>
      </c>
      <c r="P120" s="44" t="str">
        <f aca="false">IF(B120="","",IF(E120="","Sin definir",IF(ISNUMBER(SEARCH("ITIL",E120)),"ITIL",IF(ISNUMBER(SEARCH("ISO 27001",E120)),"ISO 27001",IF(ISNUMBER(SEARCH("ISO 42001",E120)),"ISO 42001",IF(ISNUMBER(SEARCH("ISO",E120)),"Otras ISO",IF(ISNUMBER(SEARCH("SCRUM",E120)),"SCRUM",IF(ISNUMBER(SEARCH("BRIDGE",E120)),"BRIDGE",IF(ISNUMBER(SEARCH("CDS",E120)),"CDS",IF(ISNUMBER(SEARCH("TOGAF",E120)),"TOGAF",IF(ISNUMBER(SEARCH("DPI",E120)),"DPI",IF(ISNUMBER(SEARCH("DITS",E120)),"DITS",IF(ISNUMBER(SEARCH("AGILE",E120)),"AGILE",IF(ISNUMBER(SEARCH("Ciberseguridad",E120)),"Ciberseguridad","Otros"))))))))))))))</f>
        <v/>
      </c>
      <c r="Q120" s="44" t="str">
        <f aca="false">IF(B120="","",IF(ISNUMBER(K120),IF(K120&lt;=3,"1-3 meses",IF(K120&lt;=6,"4-6 meses","+6 meses")),"Sin dato registrado"))</f>
        <v/>
      </c>
      <c r="R120" s="44" t="str">
        <f aca="false">IF(OR(B120="",M120=""),"",RANK(M120,$M$3:$M$306)+COUNTIF($M$3:M120,M120)-1)</f>
        <v/>
      </c>
    </row>
    <row r="121" customFormat="false" ht="15" hidden="true" customHeight="true" outlineLevel="0" collapsed="false">
      <c r="A121" s="50" t="n">
        <v>22</v>
      </c>
      <c r="C121" s="54"/>
      <c r="M121" s="44" t="str">
        <f aca="false">IF(B121="","",IF(ISNUMBER(I121),I121,IFERROR(VALUE(SUBSTITUTE(SUBSTITUTE(I121,"$",""),".","")),0)))</f>
        <v/>
      </c>
      <c r="N121" s="44" t="str">
        <f aca="false">IF(B121="","",PROPER(TRIM(D121)))</f>
        <v/>
      </c>
      <c r="O121" s="44" t="str">
        <f aca="false">IF(B121="","",IF(OR(ISNUMBER(SEARCH("AL DIA",L121)),ISNUMBER(SEARCH("AL DIA",F121))),"Al día",IF(OR(ISNUMBER(SEARCH("QUIETO",L121)),ISNUMBER(SEARCH("QUIETO",F121)),ISNUMBER(SEARCH("ESPERANDO",L121)),ISNUMBER(SEARCH("ESPERANDO",F121))),"Sin respuesta / Inactivo",IF(OR(ISNUMBER(SEARCH("PENDIENTE",L121)),ISNUMBER(SEARCH("PENDIENTE",F121)),ISNUMBER(SEARCH("COMPROMISO",F121)),ISNUMBER(SEARCH("COMPROMISO",L121)),ISNUMBER(SEARCH("PROCESO",F121)),ISNUMBER(SEARCH("LLAMAR",F121)),ISNUMBER(SEARCH("ABONO",J121)),EXACT(L121,"P"),EXACT(F121,"P")),"Pendiente / Compromiso","Sin gestionar"))))</f>
        <v/>
      </c>
      <c r="P121" s="44" t="str">
        <f aca="false">IF(B121="","",IF(E121="","Sin definir",IF(ISNUMBER(SEARCH("ITIL",E121)),"ITIL",IF(ISNUMBER(SEARCH("ISO 27001",E121)),"ISO 27001",IF(ISNUMBER(SEARCH("ISO 42001",E121)),"ISO 42001",IF(ISNUMBER(SEARCH("ISO",E121)),"Otras ISO",IF(ISNUMBER(SEARCH("SCRUM",E121)),"SCRUM",IF(ISNUMBER(SEARCH("BRIDGE",E121)),"BRIDGE",IF(ISNUMBER(SEARCH("CDS",E121)),"CDS",IF(ISNUMBER(SEARCH("TOGAF",E121)),"TOGAF",IF(ISNUMBER(SEARCH("DPI",E121)),"DPI",IF(ISNUMBER(SEARCH("DITS",E121)),"DITS",IF(ISNUMBER(SEARCH("AGILE",E121)),"AGILE",IF(ISNUMBER(SEARCH("Ciberseguridad",E121)),"Ciberseguridad","Otros"))))))))))))))</f>
        <v/>
      </c>
      <c r="Q121" s="44" t="str">
        <f aca="false">IF(B121="","",IF(ISNUMBER(K121),IF(K121&lt;=3,"1-3 meses",IF(K121&lt;=6,"4-6 meses","+6 meses")),"Sin dato registrado"))</f>
        <v/>
      </c>
      <c r="R121" s="44" t="str">
        <f aca="false">IF(OR(B121="",M121=""),"",RANK(M121,$M$3:$M$306)+COUNTIF($M$3:M121,M121)-1)</f>
        <v/>
      </c>
    </row>
    <row r="122" customFormat="false" ht="15" hidden="true" customHeight="true" outlineLevel="0" collapsed="false">
      <c r="A122" s="49" t="n">
        <v>22</v>
      </c>
      <c r="C122" s="54"/>
      <c r="M122" s="44" t="str">
        <f aca="false">IF(B122="","",IF(ISNUMBER(I122),I122,IFERROR(VALUE(SUBSTITUTE(SUBSTITUTE(I122,"$",""),".","")),0)))</f>
        <v/>
      </c>
      <c r="N122" s="44" t="str">
        <f aca="false">IF(B122="","",PROPER(TRIM(D122)))</f>
        <v/>
      </c>
      <c r="O122" s="44" t="str">
        <f aca="false">IF(B122="","",IF(OR(ISNUMBER(SEARCH("AL DIA",L122)),ISNUMBER(SEARCH("AL DIA",F122))),"Al día",IF(OR(ISNUMBER(SEARCH("QUIETO",L122)),ISNUMBER(SEARCH("QUIETO",F122)),ISNUMBER(SEARCH("ESPERANDO",L122)),ISNUMBER(SEARCH("ESPERANDO",F122))),"Sin respuesta / Inactivo",IF(OR(ISNUMBER(SEARCH("PENDIENTE",L122)),ISNUMBER(SEARCH("PENDIENTE",F122)),ISNUMBER(SEARCH("COMPROMISO",F122)),ISNUMBER(SEARCH("COMPROMISO",L122)),ISNUMBER(SEARCH("PROCESO",F122)),ISNUMBER(SEARCH("LLAMAR",F122)),ISNUMBER(SEARCH("ABONO",J122)),EXACT(L122,"P"),EXACT(F122,"P")),"Pendiente / Compromiso","Sin gestionar"))))</f>
        <v/>
      </c>
      <c r="P122" s="44" t="str">
        <f aca="false">IF(B122="","",IF(E122="","Sin definir",IF(ISNUMBER(SEARCH("ITIL",E122)),"ITIL",IF(ISNUMBER(SEARCH("ISO 27001",E122)),"ISO 27001",IF(ISNUMBER(SEARCH("ISO 42001",E122)),"ISO 42001",IF(ISNUMBER(SEARCH("ISO",E122)),"Otras ISO",IF(ISNUMBER(SEARCH("SCRUM",E122)),"SCRUM",IF(ISNUMBER(SEARCH("BRIDGE",E122)),"BRIDGE",IF(ISNUMBER(SEARCH("CDS",E122)),"CDS",IF(ISNUMBER(SEARCH("TOGAF",E122)),"TOGAF",IF(ISNUMBER(SEARCH("DPI",E122)),"DPI",IF(ISNUMBER(SEARCH("DITS",E122)),"DITS",IF(ISNUMBER(SEARCH("AGILE",E122)),"AGILE",IF(ISNUMBER(SEARCH("Ciberseguridad",E122)),"Ciberseguridad","Otros"))))))))))))))</f>
        <v/>
      </c>
      <c r="Q122" s="44" t="str">
        <f aca="false">IF(B122="","",IF(ISNUMBER(K122),IF(K122&lt;=3,"1-3 meses",IF(K122&lt;=6,"4-6 meses","+6 meses")),"Sin dato registrado"))</f>
        <v/>
      </c>
      <c r="R122" s="44" t="str">
        <f aca="false">IF(OR(B122="",M122=""),"",RANK(M122,$M$3:$M$306)+COUNTIF($M$3:M122,M122)-1)</f>
        <v/>
      </c>
    </row>
    <row r="123" customFormat="false" ht="15" hidden="true" customHeight="true" outlineLevel="0" collapsed="false">
      <c r="A123" s="50" t="n">
        <v>22</v>
      </c>
      <c r="C123" s="54"/>
      <c r="M123" s="44" t="str">
        <f aca="false">IF(B123="","",IF(ISNUMBER(I123),I123,IFERROR(VALUE(SUBSTITUTE(SUBSTITUTE(I123,"$",""),".","")),0)))</f>
        <v/>
      </c>
      <c r="N123" s="44" t="str">
        <f aca="false">IF(B123="","",PROPER(TRIM(D123)))</f>
        <v/>
      </c>
      <c r="O123" s="44" t="str">
        <f aca="false">IF(B123="","",IF(OR(ISNUMBER(SEARCH("AL DIA",L123)),ISNUMBER(SEARCH("AL DIA",F123))),"Al día",IF(OR(ISNUMBER(SEARCH("QUIETO",L123)),ISNUMBER(SEARCH("QUIETO",F123)),ISNUMBER(SEARCH("ESPERANDO",L123)),ISNUMBER(SEARCH("ESPERANDO",F123))),"Sin respuesta / Inactivo",IF(OR(ISNUMBER(SEARCH("PENDIENTE",L123)),ISNUMBER(SEARCH("PENDIENTE",F123)),ISNUMBER(SEARCH("COMPROMISO",F123)),ISNUMBER(SEARCH("COMPROMISO",L123)),ISNUMBER(SEARCH("PROCESO",F123)),ISNUMBER(SEARCH("LLAMAR",F123)),ISNUMBER(SEARCH("ABONO",J123)),EXACT(L123,"P"),EXACT(F123,"P")),"Pendiente / Compromiso","Sin gestionar"))))</f>
        <v/>
      </c>
      <c r="P123" s="44" t="str">
        <f aca="false">IF(B123="","",IF(E123="","Sin definir",IF(ISNUMBER(SEARCH("ITIL",E123)),"ITIL",IF(ISNUMBER(SEARCH("ISO 27001",E123)),"ISO 27001",IF(ISNUMBER(SEARCH("ISO 42001",E123)),"ISO 42001",IF(ISNUMBER(SEARCH("ISO",E123)),"Otras ISO",IF(ISNUMBER(SEARCH("SCRUM",E123)),"SCRUM",IF(ISNUMBER(SEARCH("BRIDGE",E123)),"BRIDGE",IF(ISNUMBER(SEARCH("CDS",E123)),"CDS",IF(ISNUMBER(SEARCH("TOGAF",E123)),"TOGAF",IF(ISNUMBER(SEARCH("DPI",E123)),"DPI",IF(ISNUMBER(SEARCH("DITS",E123)),"DITS",IF(ISNUMBER(SEARCH("AGILE",E123)),"AGILE",IF(ISNUMBER(SEARCH("Ciberseguridad",E123)),"Ciberseguridad","Otros"))))))))))))))</f>
        <v/>
      </c>
      <c r="Q123" s="44" t="str">
        <f aca="false">IF(B123="","",IF(ISNUMBER(K123),IF(K123&lt;=3,"1-3 meses",IF(K123&lt;=6,"4-6 meses","+6 meses")),"Sin dato registrado"))</f>
        <v/>
      </c>
      <c r="R123" s="44" t="str">
        <f aca="false">IF(OR(B123="",M123=""),"",RANK(M123,$M$3:$M$306)+COUNTIF($M$3:M123,M123)-1)</f>
        <v/>
      </c>
    </row>
    <row r="124" customFormat="false" ht="15" hidden="true" customHeight="true" outlineLevel="0" collapsed="false">
      <c r="A124" s="49" t="n">
        <v>22</v>
      </c>
      <c r="C124" s="54"/>
      <c r="M124" s="44" t="str">
        <f aca="false">IF(B124="","",IF(ISNUMBER(I124),I124,IFERROR(VALUE(SUBSTITUTE(SUBSTITUTE(I124,"$",""),".","")),0)))</f>
        <v/>
      </c>
      <c r="N124" s="44" t="str">
        <f aca="false">IF(B124="","",PROPER(TRIM(D124)))</f>
        <v/>
      </c>
      <c r="O124" s="44" t="str">
        <f aca="false">IF(B124="","",IF(OR(ISNUMBER(SEARCH("AL DIA",L124)),ISNUMBER(SEARCH("AL DIA",F124))),"Al día",IF(OR(ISNUMBER(SEARCH("QUIETO",L124)),ISNUMBER(SEARCH("QUIETO",F124)),ISNUMBER(SEARCH("ESPERANDO",L124)),ISNUMBER(SEARCH("ESPERANDO",F124))),"Sin respuesta / Inactivo",IF(OR(ISNUMBER(SEARCH("PENDIENTE",L124)),ISNUMBER(SEARCH("PENDIENTE",F124)),ISNUMBER(SEARCH("COMPROMISO",F124)),ISNUMBER(SEARCH("COMPROMISO",L124)),ISNUMBER(SEARCH("PROCESO",F124)),ISNUMBER(SEARCH("LLAMAR",F124)),ISNUMBER(SEARCH("ABONO",J124)),EXACT(L124,"P"),EXACT(F124,"P")),"Pendiente / Compromiso","Sin gestionar"))))</f>
        <v/>
      </c>
      <c r="P124" s="44" t="str">
        <f aca="false">IF(B124="","",IF(E124="","Sin definir",IF(ISNUMBER(SEARCH("ITIL",E124)),"ITIL",IF(ISNUMBER(SEARCH("ISO 27001",E124)),"ISO 27001",IF(ISNUMBER(SEARCH("ISO 42001",E124)),"ISO 42001",IF(ISNUMBER(SEARCH("ISO",E124)),"Otras ISO",IF(ISNUMBER(SEARCH("SCRUM",E124)),"SCRUM",IF(ISNUMBER(SEARCH("BRIDGE",E124)),"BRIDGE",IF(ISNUMBER(SEARCH("CDS",E124)),"CDS",IF(ISNUMBER(SEARCH("TOGAF",E124)),"TOGAF",IF(ISNUMBER(SEARCH("DPI",E124)),"DPI",IF(ISNUMBER(SEARCH("DITS",E124)),"DITS",IF(ISNUMBER(SEARCH("AGILE",E124)),"AGILE",IF(ISNUMBER(SEARCH("Ciberseguridad",E124)),"Ciberseguridad","Otros"))))))))))))))</f>
        <v/>
      </c>
      <c r="Q124" s="44" t="str">
        <f aca="false">IF(B124="","",IF(ISNUMBER(K124),IF(K124&lt;=3,"1-3 meses",IF(K124&lt;=6,"4-6 meses","+6 meses")),"Sin dato registrado"))</f>
        <v/>
      </c>
      <c r="R124" s="44" t="str">
        <f aca="false">IF(OR(B124="",M124=""),"",RANK(M124,$M$3:$M$306)+COUNTIF($M$3:M124,M124)-1)</f>
        <v/>
      </c>
    </row>
    <row r="125" customFormat="false" ht="15" hidden="true" customHeight="true" outlineLevel="0" collapsed="false">
      <c r="A125" s="50" t="n">
        <v>22</v>
      </c>
      <c r="C125" s="54"/>
      <c r="M125" s="44" t="str">
        <f aca="false">IF(B125="","",IF(ISNUMBER(I125),I125,IFERROR(VALUE(SUBSTITUTE(SUBSTITUTE(I125,"$",""),".","")),0)))</f>
        <v/>
      </c>
      <c r="N125" s="44" t="str">
        <f aca="false">IF(B125="","",PROPER(TRIM(D125)))</f>
        <v/>
      </c>
      <c r="O125" s="44" t="str">
        <f aca="false">IF(B125="","",IF(OR(ISNUMBER(SEARCH("AL DIA",L125)),ISNUMBER(SEARCH("AL DIA",F125))),"Al día",IF(OR(ISNUMBER(SEARCH("QUIETO",L125)),ISNUMBER(SEARCH("QUIETO",F125)),ISNUMBER(SEARCH("ESPERANDO",L125)),ISNUMBER(SEARCH("ESPERANDO",F125))),"Sin respuesta / Inactivo",IF(OR(ISNUMBER(SEARCH("PENDIENTE",L125)),ISNUMBER(SEARCH("PENDIENTE",F125)),ISNUMBER(SEARCH("COMPROMISO",F125)),ISNUMBER(SEARCH("COMPROMISO",L125)),ISNUMBER(SEARCH("PROCESO",F125)),ISNUMBER(SEARCH("LLAMAR",F125)),ISNUMBER(SEARCH("ABONO",J125)),EXACT(L125,"P"),EXACT(F125,"P")),"Pendiente / Compromiso","Sin gestionar"))))</f>
        <v/>
      </c>
      <c r="P125" s="44" t="str">
        <f aca="false">IF(B125="","",IF(E125="","Sin definir",IF(ISNUMBER(SEARCH("ITIL",E125)),"ITIL",IF(ISNUMBER(SEARCH("ISO 27001",E125)),"ISO 27001",IF(ISNUMBER(SEARCH("ISO 42001",E125)),"ISO 42001",IF(ISNUMBER(SEARCH("ISO",E125)),"Otras ISO",IF(ISNUMBER(SEARCH("SCRUM",E125)),"SCRUM",IF(ISNUMBER(SEARCH("BRIDGE",E125)),"BRIDGE",IF(ISNUMBER(SEARCH("CDS",E125)),"CDS",IF(ISNUMBER(SEARCH("TOGAF",E125)),"TOGAF",IF(ISNUMBER(SEARCH("DPI",E125)),"DPI",IF(ISNUMBER(SEARCH("DITS",E125)),"DITS",IF(ISNUMBER(SEARCH("AGILE",E125)),"AGILE",IF(ISNUMBER(SEARCH("Ciberseguridad",E125)),"Ciberseguridad","Otros"))))))))))))))</f>
        <v/>
      </c>
      <c r="Q125" s="44" t="str">
        <f aca="false">IF(B125="","",IF(ISNUMBER(K125),IF(K125&lt;=3,"1-3 meses",IF(K125&lt;=6,"4-6 meses","+6 meses")),"Sin dato registrado"))</f>
        <v/>
      </c>
      <c r="R125" s="44" t="str">
        <f aca="false">IF(OR(B125="",M125=""),"",RANK(M125,$M$3:$M$306)+COUNTIF($M$3:M125,M125)-1)</f>
        <v/>
      </c>
    </row>
    <row r="126" customFormat="false" ht="15" hidden="true" customHeight="true" outlineLevel="0" collapsed="false">
      <c r="A126" s="49" t="n">
        <v>22</v>
      </c>
      <c r="C126" s="54"/>
      <c r="M126" s="44" t="str">
        <f aca="false">IF(B126="","",IF(ISNUMBER(I126),I126,IFERROR(VALUE(SUBSTITUTE(SUBSTITUTE(I126,"$",""),".","")),0)))</f>
        <v/>
      </c>
      <c r="N126" s="44" t="str">
        <f aca="false">IF(B126="","",PROPER(TRIM(D126)))</f>
        <v/>
      </c>
      <c r="O126" s="44" t="str">
        <f aca="false">IF(B126="","",IF(OR(ISNUMBER(SEARCH("AL DIA",L126)),ISNUMBER(SEARCH("AL DIA",F126))),"Al día",IF(OR(ISNUMBER(SEARCH("QUIETO",L126)),ISNUMBER(SEARCH("QUIETO",F126)),ISNUMBER(SEARCH("ESPERANDO",L126)),ISNUMBER(SEARCH("ESPERANDO",F126))),"Sin respuesta / Inactivo",IF(OR(ISNUMBER(SEARCH("PENDIENTE",L126)),ISNUMBER(SEARCH("PENDIENTE",F126)),ISNUMBER(SEARCH("COMPROMISO",F126)),ISNUMBER(SEARCH("COMPROMISO",L126)),ISNUMBER(SEARCH("PROCESO",F126)),ISNUMBER(SEARCH("LLAMAR",F126)),ISNUMBER(SEARCH("ABONO",J126)),EXACT(L126,"P"),EXACT(F126,"P")),"Pendiente / Compromiso","Sin gestionar"))))</f>
        <v/>
      </c>
      <c r="P126" s="44" t="str">
        <f aca="false">IF(B126="","",IF(E126="","Sin definir",IF(ISNUMBER(SEARCH("ITIL",E126)),"ITIL",IF(ISNUMBER(SEARCH("ISO 27001",E126)),"ISO 27001",IF(ISNUMBER(SEARCH("ISO 42001",E126)),"ISO 42001",IF(ISNUMBER(SEARCH("ISO",E126)),"Otras ISO",IF(ISNUMBER(SEARCH("SCRUM",E126)),"SCRUM",IF(ISNUMBER(SEARCH("BRIDGE",E126)),"BRIDGE",IF(ISNUMBER(SEARCH("CDS",E126)),"CDS",IF(ISNUMBER(SEARCH("TOGAF",E126)),"TOGAF",IF(ISNUMBER(SEARCH("DPI",E126)),"DPI",IF(ISNUMBER(SEARCH("DITS",E126)),"DITS",IF(ISNUMBER(SEARCH("AGILE",E126)),"AGILE",IF(ISNUMBER(SEARCH("Ciberseguridad",E126)),"Ciberseguridad","Otros"))))))))))))))</f>
        <v/>
      </c>
      <c r="Q126" s="44" t="str">
        <f aca="false">IF(B126="","",IF(ISNUMBER(K126),IF(K126&lt;=3,"1-3 meses",IF(K126&lt;=6,"4-6 meses","+6 meses")),"Sin dato registrado"))</f>
        <v/>
      </c>
      <c r="R126" s="44" t="str">
        <f aca="false">IF(OR(B126="",M126=""),"",RANK(M126,$M$3:$M$306)+COUNTIF($M$3:M126,M126)-1)</f>
        <v/>
      </c>
    </row>
    <row r="127" customFormat="false" ht="15" hidden="true" customHeight="true" outlineLevel="0" collapsed="false">
      <c r="A127" s="50" t="n">
        <v>22</v>
      </c>
      <c r="C127" s="54"/>
      <c r="M127" s="44" t="str">
        <f aca="false">IF(B127="","",IF(ISNUMBER(I127),I127,IFERROR(VALUE(SUBSTITUTE(SUBSTITUTE(I127,"$",""),".","")),0)))</f>
        <v/>
      </c>
      <c r="N127" s="44" t="str">
        <f aca="false">IF(B127="","",PROPER(TRIM(D127)))</f>
        <v/>
      </c>
      <c r="O127" s="44" t="str">
        <f aca="false">IF(B127="","",IF(OR(ISNUMBER(SEARCH("AL DIA",L127)),ISNUMBER(SEARCH("AL DIA",F127))),"Al día",IF(OR(ISNUMBER(SEARCH("QUIETO",L127)),ISNUMBER(SEARCH("QUIETO",F127)),ISNUMBER(SEARCH("ESPERANDO",L127)),ISNUMBER(SEARCH("ESPERANDO",F127))),"Sin respuesta / Inactivo",IF(OR(ISNUMBER(SEARCH("PENDIENTE",L127)),ISNUMBER(SEARCH("PENDIENTE",F127)),ISNUMBER(SEARCH("COMPROMISO",F127)),ISNUMBER(SEARCH("COMPROMISO",L127)),ISNUMBER(SEARCH("PROCESO",F127)),ISNUMBER(SEARCH("LLAMAR",F127)),ISNUMBER(SEARCH("ABONO",J127)),EXACT(L127,"P"),EXACT(F127,"P")),"Pendiente / Compromiso","Sin gestionar"))))</f>
        <v/>
      </c>
      <c r="P127" s="44" t="str">
        <f aca="false">IF(B127="","",IF(E127="","Sin definir",IF(ISNUMBER(SEARCH("ITIL",E127)),"ITIL",IF(ISNUMBER(SEARCH("ISO 27001",E127)),"ISO 27001",IF(ISNUMBER(SEARCH("ISO 42001",E127)),"ISO 42001",IF(ISNUMBER(SEARCH("ISO",E127)),"Otras ISO",IF(ISNUMBER(SEARCH("SCRUM",E127)),"SCRUM",IF(ISNUMBER(SEARCH("BRIDGE",E127)),"BRIDGE",IF(ISNUMBER(SEARCH("CDS",E127)),"CDS",IF(ISNUMBER(SEARCH("TOGAF",E127)),"TOGAF",IF(ISNUMBER(SEARCH("DPI",E127)),"DPI",IF(ISNUMBER(SEARCH("DITS",E127)),"DITS",IF(ISNUMBER(SEARCH("AGILE",E127)),"AGILE",IF(ISNUMBER(SEARCH("Ciberseguridad",E127)),"Ciberseguridad","Otros"))))))))))))))</f>
        <v/>
      </c>
      <c r="Q127" s="44" t="str">
        <f aca="false">IF(B127="","",IF(ISNUMBER(K127),IF(K127&lt;=3,"1-3 meses",IF(K127&lt;=6,"4-6 meses","+6 meses")),"Sin dato registrado"))</f>
        <v/>
      </c>
      <c r="R127" s="44" t="str">
        <f aca="false">IF(OR(B127="",M127=""),"",RANK(M127,$M$3:$M$306)+COUNTIF($M$3:M127,M127)-1)</f>
        <v/>
      </c>
    </row>
    <row r="128" customFormat="false" ht="15" hidden="true" customHeight="true" outlineLevel="0" collapsed="false">
      <c r="A128" s="49" t="n">
        <v>22</v>
      </c>
      <c r="C128" s="54"/>
      <c r="M128" s="44" t="str">
        <f aca="false">IF(B128="","",IF(ISNUMBER(I128),I128,IFERROR(VALUE(SUBSTITUTE(SUBSTITUTE(I128,"$",""),".","")),0)))</f>
        <v/>
      </c>
      <c r="N128" s="44" t="str">
        <f aca="false">IF(B128="","",PROPER(TRIM(D128)))</f>
        <v/>
      </c>
      <c r="O128" s="44" t="str">
        <f aca="false">IF(B128="","",IF(OR(ISNUMBER(SEARCH("AL DIA",L128)),ISNUMBER(SEARCH("AL DIA",F128))),"Al día",IF(OR(ISNUMBER(SEARCH("QUIETO",L128)),ISNUMBER(SEARCH("QUIETO",F128)),ISNUMBER(SEARCH("ESPERANDO",L128)),ISNUMBER(SEARCH("ESPERANDO",F128))),"Sin respuesta / Inactivo",IF(OR(ISNUMBER(SEARCH("PENDIENTE",L128)),ISNUMBER(SEARCH("PENDIENTE",F128)),ISNUMBER(SEARCH("COMPROMISO",F128)),ISNUMBER(SEARCH("COMPROMISO",L128)),ISNUMBER(SEARCH("PROCESO",F128)),ISNUMBER(SEARCH("LLAMAR",F128)),ISNUMBER(SEARCH("ABONO",J128)),EXACT(L128,"P"),EXACT(F128,"P")),"Pendiente / Compromiso","Sin gestionar"))))</f>
        <v/>
      </c>
      <c r="P128" s="44" t="str">
        <f aca="false">IF(B128="","",IF(E128="","Sin definir",IF(ISNUMBER(SEARCH("ITIL",E128)),"ITIL",IF(ISNUMBER(SEARCH("ISO 27001",E128)),"ISO 27001",IF(ISNUMBER(SEARCH("ISO 42001",E128)),"ISO 42001",IF(ISNUMBER(SEARCH("ISO",E128)),"Otras ISO",IF(ISNUMBER(SEARCH("SCRUM",E128)),"SCRUM",IF(ISNUMBER(SEARCH("BRIDGE",E128)),"BRIDGE",IF(ISNUMBER(SEARCH("CDS",E128)),"CDS",IF(ISNUMBER(SEARCH("TOGAF",E128)),"TOGAF",IF(ISNUMBER(SEARCH("DPI",E128)),"DPI",IF(ISNUMBER(SEARCH("DITS",E128)),"DITS",IF(ISNUMBER(SEARCH("AGILE",E128)),"AGILE",IF(ISNUMBER(SEARCH("Ciberseguridad",E128)),"Ciberseguridad","Otros"))))))))))))))</f>
        <v/>
      </c>
      <c r="Q128" s="44" t="str">
        <f aca="false">IF(B128="","",IF(ISNUMBER(K128),IF(K128&lt;=3,"1-3 meses",IF(K128&lt;=6,"4-6 meses","+6 meses")),"Sin dato registrado"))</f>
        <v/>
      </c>
      <c r="R128" s="44" t="str">
        <f aca="false">IF(OR(B128="",M128=""),"",RANK(M128,$M$3:$M$306)+COUNTIF($M$3:M128,M128)-1)</f>
        <v/>
      </c>
    </row>
    <row r="129" customFormat="false" ht="15" hidden="true" customHeight="true" outlineLevel="0" collapsed="false">
      <c r="A129" s="50" t="n">
        <v>22</v>
      </c>
      <c r="C129" s="54"/>
      <c r="M129" s="44" t="str">
        <f aca="false">IF(B129="","",IF(ISNUMBER(I129),I129,IFERROR(VALUE(SUBSTITUTE(SUBSTITUTE(I129,"$",""),".","")),0)))</f>
        <v/>
      </c>
      <c r="N129" s="44" t="str">
        <f aca="false">IF(B129="","",PROPER(TRIM(D129)))</f>
        <v/>
      </c>
      <c r="O129" s="44" t="str">
        <f aca="false">IF(B129="","",IF(OR(ISNUMBER(SEARCH("AL DIA",L129)),ISNUMBER(SEARCH("AL DIA",F129))),"Al día",IF(OR(ISNUMBER(SEARCH("QUIETO",L129)),ISNUMBER(SEARCH("QUIETO",F129)),ISNUMBER(SEARCH("ESPERANDO",L129)),ISNUMBER(SEARCH("ESPERANDO",F129))),"Sin respuesta / Inactivo",IF(OR(ISNUMBER(SEARCH("PENDIENTE",L129)),ISNUMBER(SEARCH("PENDIENTE",F129)),ISNUMBER(SEARCH("COMPROMISO",F129)),ISNUMBER(SEARCH("COMPROMISO",L129)),ISNUMBER(SEARCH("PROCESO",F129)),ISNUMBER(SEARCH("LLAMAR",F129)),ISNUMBER(SEARCH("ABONO",J129)),EXACT(L129,"P"),EXACT(F129,"P")),"Pendiente / Compromiso","Sin gestionar"))))</f>
        <v/>
      </c>
      <c r="P129" s="44" t="str">
        <f aca="false">IF(B129="","",IF(E129="","Sin definir",IF(ISNUMBER(SEARCH("ITIL",E129)),"ITIL",IF(ISNUMBER(SEARCH("ISO 27001",E129)),"ISO 27001",IF(ISNUMBER(SEARCH("ISO 42001",E129)),"ISO 42001",IF(ISNUMBER(SEARCH("ISO",E129)),"Otras ISO",IF(ISNUMBER(SEARCH("SCRUM",E129)),"SCRUM",IF(ISNUMBER(SEARCH("BRIDGE",E129)),"BRIDGE",IF(ISNUMBER(SEARCH("CDS",E129)),"CDS",IF(ISNUMBER(SEARCH("TOGAF",E129)),"TOGAF",IF(ISNUMBER(SEARCH("DPI",E129)),"DPI",IF(ISNUMBER(SEARCH("DITS",E129)),"DITS",IF(ISNUMBER(SEARCH("AGILE",E129)),"AGILE",IF(ISNUMBER(SEARCH("Ciberseguridad",E129)),"Ciberseguridad","Otros"))))))))))))))</f>
        <v/>
      </c>
      <c r="Q129" s="44" t="str">
        <f aca="false">IF(B129="","",IF(ISNUMBER(K129),IF(K129&lt;=3,"1-3 meses",IF(K129&lt;=6,"4-6 meses","+6 meses")),"Sin dato registrado"))</f>
        <v/>
      </c>
      <c r="R129" s="44" t="str">
        <f aca="false">IF(OR(B129="",M129=""),"",RANK(M129,$M$3:$M$306)+COUNTIF($M$3:M129,M129)-1)</f>
        <v/>
      </c>
    </row>
    <row r="130" customFormat="false" ht="15" hidden="true" customHeight="true" outlineLevel="0" collapsed="false">
      <c r="A130" s="49" t="n">
        <v>22</v>
      </c>
      <c r="C130" s="54"/>
      <c r="M130" s="44" t="str">
        <f aca="false">IF(B130="","",IF(ISNUMBER(I130),I130,IFERROR(VALUE(SUBSTITUTE(SUBSTITUTE(I130,"$",""),".","")),0)))</f>
        <v/>
      </c>
      <c r="N130" s="44" t="str">
        <f aca="false">IF(B130="","",PROPER(TRIM(D130)))</f>
        <v/>
      </c>
      <c r="O130" s="44" t="str">
        <f aca="false">IF(B130="","",IF(OR(ISNUMBER(SEARCH("AL DIA",L130)),ISNUMBER(SEARCH("AL DIA",F130))),"Al día",IF(OR(ISNUMBER(SEARCH("QUIETO",L130)),ISNUMBER(SEARCH("QUIETO",F130)),ISNUMBER(SEARCH("ESPERANDO",L130)),ISNUMBER(SEARCH("ESPERANDO",F130))),"Sin respuesta / Inactivo",IF(OR(ISNUMBER(SEARCH("PENDIENTE",L130)),ISNUMBER(SEARCH("PENDIENTE",F130)),ISNUMBER(SEARCH("COMPROMISO",F130)),ISNUMBER(SEARCH("COMPROMISO",L130)),ISNUMBER(SEARCH("PROCESO",F130)),ISNUMBER(SEARCH("LLAMAR",F130)),ISNUMBER(SEARCH("ABONO",J130)),EXACT(L130,"P"),EXACT(F130,"P")),"Pendiente / Compromiso","Sin gestionar"))))</f>
        <v/>
      </c>
      <c r="P130" s="44" t="str">
        <f aca="false">IF(B130="","",IF(E130="","Sin definir",IF(ISNUMBER(SEARCH("ITIL",E130)),"ITIL",IF(ISNUMBER(SEARCH("ISO 27001",E130)),"ISO 27001",IF(ISNUMBER(SEARCH("ISO 42001",E130)),"ISO 42001",IF(ISNUMBER(SEARCH("ISO",E130)),"Otras ISO",IF(ISNUMBER(SEARCH("SCRUM",E130)),"SCRUM",IF(ISNUMBER(SEARCH("BRIDGE",E130)),"BRIDGE",IF(ISNUMBER(SEARCH("CDS",E130)),"CDS",IF(ISNUMBER(SEARCH("TOGAF",E130)),"TOGAF",IF(ISNUMBER(SEARCH("DPI",E130)),"DPI",IF(ISNUMBER(SEARCH("DITS",E130)),"DITS",IF(ISNUMBER(SEARCH("AGILE",E130)),"AGILE",IF(ISNUMBER(SEARCH("Ciberseguridad",E130)),"Ciberseguridad","Otros"))))))))))))))</f>
        <v/>
      </c>
      <c r="Q130" s="44" t="str">
        <f aca="false">IF(B130="","",IF(ISNUMBER(K130),IF(K130&lt;=3,"1-3 meses",IF(K130&lt;=6,"4-6 meses","+6 meses")),"Sin dato registrado"))</f>
        <v/>
      </c>
      <c r="R130" s="44" t="str">
        <f aca="false">IF(OR(B130="",M130=""),"",RANK(M130,$M$3:$M$306)+COUNTIF($M$3:M130,M130)-1)</f>
        <v/>
      </c>
    </row>
    <row r="131" customFormat="false" ht="15" hidden="true" customHeight="true" outlineLevel="0" collapsed="false">
      <c r="A131" s="50" t="n">
        <v>22</v>
      </c>
      <c r="C131" s="54"/>
      <c r="M131" s="44" t="str">
        <f aca="false">IF(B131="","",IF(ISNUMBER(I131),I131,IFERROR(VALUE(SUBSTITUTE(SUBSTITUTE(I131,"$",""),".","")),0)))</f>
        <v/>
      </c>
      <c r="N131" s="44" t="str">
        <f aca="false">IF(B131="","",PROPER(TRIM(D131)))</f>
        <v/>
      </c>
      <c r="O131" s="44" t="str">
        <f aca="false">IF(B131="","",IF(OR(ISNUMBER(SEARCH("AL DIA",L131)),ISNUMBER(SEARCH("AL DIA",F131))),"Al día",IF(OR(ISNUMBER(SEARCH("QUIETO",L131)),ISNUMBER(SEARCH("QUIETO",F131)),ISNUMBER(SEARCH("ESPERANDO",L131)),ISNUMBER(SEARCH("ESPERANDO",F131))),"Sin respuesta / Inactivo",IF(OR(ISNUMBER(SEARCH("PENDIENTE",L131)),ISNUMBER(SEARCH("PENDIENTE",F131)),ISNUMBER(SEARCH("COMPROMISO",F131)),ISNUMBER(SEARCH("COMPROMISO",L131)),ISNUMBER(SEARCH("PROCESO",F131)),ISNUMBER(SEARCH("LLAMAR",F131)),ISNUMBER(SEARCH("ABONO",J131)),EXACT(L131,"P"),EXACT(F131,"P")),"Pendiente / Compromiso","Sin gestionar"))))</f>
        <v/>
      </c>
      <c r="P131" s="44" t="str">
        <f aca="false">IF(B131="","",IF(E131="","Sin definir",IF(ISNUMBER(SEARCH("ITIL",E131)),"ITIL",IF(ISNUMBER(SEARCH("ISO 27001",E131)),"ISO 27001",IF(ISNUMBER(SEARCH("ISO 42001",E131)),"ISO 42001",IF(ISNUMBER(SEARCH("ISO",E131)),"Otras ISO",IF(ISNUMBER(SEARCH("SCRUM",E131)),"SCRUM",IF(ISNUMBER(SEARCH("BRIDGE",E131)),"BRIDGE",IF(ISNUMBER(SEARCH("CDS",E131)),"CDS",IF(ISNUMBER(SEARCH("TOGAF",E131)),"TOGAF",IF(ISNUMBER(SEARCH("DPI",E131)),"DPI",IF(ISNUMBER(SEARCH("DITS",E131)),"DITS",IF(ISNUMBER(SEARCH("AGILE",E131)),"AGILE",IF(ISNUMBER(SEARCH("Ciberseguridad",E131)),"Ciberseguridad","Otros"))))))))))))))</f>
        <v/>
      </c>
      <c r="Q131" s="44" t="str">
        <f aca="false">IF(B131="","",IF(ISNUMBER(K131),IF(K131&lt;=3,"1-3 meses",IF(K131&lt;=6,"4-6 meses","+6 meses")),"Sin dato registrado"))</f>
        <v/>
      </c>
      <c r="R131" s="44" t="str">
        <f aca="false">IF(OR(B131="",M131=""),"",RANK(M131,$M$3:$M$306)+COUNTIF($M$3:M131,M131)-1)</f>
        <v/>
      </c>
    </row>
    <row r="132" customFormat="false" ht="15" hidden="true" customHeight="true" outlineLevel="0" collapsed="false">
      <c r="A132" s="49" t="n">
        <v>22</v>
      </c>
      <c r="C132" s="54"/>
      <c r="M132" s="44" t="str">
        <f aca="false">IF(B132="","",IF(ISNUMBER(I132),I132,IFERROR(VALUE(SUBSTITUTE(SUBSTITUTE(I132,"$",""),".","")),0)))</f>
        <v/>
      </c>
      <c r="N132" s="44" t="str">
        <f aca="false">IF(B132="","",PROPER(TRIM(D132)))</f>
        <v/>
      </c>
      <c r="O132" s="44" t="str">
        <f aca="false">IF(B132="","",IF(OR(ISNUMBER(SEARCH("AL DIA",L132)),ISNUMBER(SEARCH("AL DIA",F132))),"Al día",IF(OR(ISNUMBER(SEARCH("QUIETO",L132)),ISNUMBER(SEARCH("QUIETO",F132)),ISNUMBER(SEARCH("ESPERANDO",L132)),ISNUMBER(SEARCH("ESPERANDO",F132))),"Sin respuesta / Inactivo",IF(OR(ISNUMBER(SEARCH("PENDIENTE",L132)),ISNUMBER(SEARCH("PENDIENTE",F132)),ISNUMBER(SEARCH("COMPROMISO",F132)),ISNUMBER(SEARCH("COMPROMISO",L132)),ISNUMBER(SEARCH("PROCESO",F132)),ISNUMBER(SEARCH("LLAMAR",F132)),ISNUMBER(SEARCH("ABONO",J132)),EXACT(L132,"P"),EXACT(F132,"P")),"Pendiente / Compromiso","Sin gestionar"))))</f>
        <v/>
      </c>
      <c r="P132" s="44" t="str">
        <f aca="false">IF(B132="","",IF(E132="","Sin definir",IF(ISNUMBER(SEARCH("ITIL",E132)),"ITIL",IF(ISNUMBER(SEARCH("ISO 27001",E132)),"ISO 27001",IF(ISNUMBER(SEARCH("ISO 42001",E132)),"ISO 42001",IF(ISNUMBER(SEARCH("ISO",E132)),"Otras ISO",IF(ISNUMBER(SEARCH("SCRUM",E132)),"SCRUM",IF(ISNUMBER(SEARCH("BRIDGE",E132)),"BRIDGE",IF(ISNUMBER(SEARCH("CDS",E132)),"CDS",IF(ISNUMBER(SEARCH("TOGAF",E132)),"TOGAF",IF(ISNUMBER(SEARCH("DPI",E132)),"DPI",IF(ISNUMBER(SEARCH("DITS",E132)),"DITS",IF(ISNUMBER(SEARCH("AGILE",E132)),"AGILE",IF(ISNUMBER(SEARCH("Ciberseguridad",E132)),"Ciberseguridad","Otros"))))))))))))))</f>
        <v/>
      </c>
      <c r="Q132" s="44" t="str">
        <f aca="false">IF(B132="","",IF(ISNUMBER(K132),IF(K132&lt;=3,"1-3 meses",IF(K132&lt;=6,"4-6 meses","+6 meses")),"Sin dato registrado"))</f>
        <v/>
      </c>
      <c r="R132" s="44" t="str">
        <f aca="false">IF(OR(B132="",M132=""),"",RANK(M132,$M$3:$M$306)+COUNTIF($M$3:M132,M132)-1)</f>
        <v/>
      </c>
    </row>
    <row r="133" customFormat="false" ht="15" hidden="true" customHeight="true" outlineLevel="0" collapsed="false">
      <c r="A133" s="50" t="n">
        <v>22</v>
      </c>
      <c r="C133" s="54"/>
      <c r="M133" s="44" t="str">
        <f aca="false">IF(B133="","",IF(ISNUMBER(I133),I133,IFERROR(VALUE(SUBSTITUTE(SUBSTITUTE(I133,"$",""),".","")),0)))</f>
        <v/>
      </c>
      <c r="N133" s="44" t="str">
        <f aca="false">IF(B133="","",PROPER(TRIM(D133)))</f>
        <v/>
      </c>
      <c r="O133" s="44" t="str">
        <f aca="false">IF(B133="","",IF(OR(ISNUMBER(SEARCH("AL DIA",L133)),ISNUMBER(SEARCH("AL DIA",F133))),"Al día",IF(OR(ISNUMBER(SEARCH("QUIETO",L133)),ISNUMBER(SEARCH("QUIETO",F133)),ISNUMBER(SEARCH("ESPERANDO",L133)),ISNUMBER(SEARCH("ESPERANDO",F133))),"Sin respuesta / Inactivo",IF(OR(ISNUMBER(SEARCH("PENDIENTE",L133)),ISNUMBER(SEARCH("PENDIENTE",F133)),ISNUMBER(SEARCH("COMPROMISO",F133)),ISNUMBER(SEARCH("COMPROMISO",L133)),ISNUMBER(SEARCH("PROCESO",F133)),ISNUMBER(SEARCH("LLAMAR",F133)),ISNUMBER(SEARCH("ABONO",J133)),EXACT(L133,"P"),EXACT(F133,"P")),"Pendiente / Compromiso","Sin gestionar"))))</f>
        <v/>
      </c>
      <c r="P133" s="44" t="str">
        <f aca="false">IF(B133="","",IF(E133="","Sin definir",IF(ISNUMBER(SEARCH("ITIL",E133)),"ITIL",IF(ISNUMBER(SEARCH("ISO 27001",E133)),"ISO 27001",IF(ISNUMBER(SEARCH("ISO 42001",E133)),"ISO 42001",IF(ISNUMBER(SEARCH("ISO",E133)),"Otras ISO",IF(ISNUMBER(SEARCH("SCRUM",E133)),"SCRUM",IF(ISNUMBER(SEARCH("BRIDGE",E133)),"BRIDGE",IF(ISNUMBER(SEARCH("CDS",E133)),"CDS",IF(ISNUMBER(SEARCH("TOGAF",E133)),"TOGAF",IF(ISNUMBER(SEARCH("DPI",E133)),"DPI",IF(ISNUMBER(SEARCH("DITS",E133)),"DITS",IF(ISNUMBER(SEARCH("AGILE",E133)),"AGILE",IF(ISNUMBER(SEARCH("Ciberseguridad",E133)),"Ciberseguridad","Otros"))))))))))))))</f>
        <v/>
      </c>
      <c r="Q133" s="44" t="str">
        <f aca="false">IF(B133="","",IF(ISNUMBER(K133),IF(K133&lt;=3,"1-3 meses",IF(K133&lt;=6,"4-6 meses","+6 meses")),"Sin dato registrado"))</f>
        <v/>
      </c>
      <c r="R133" s="44" t="str">
        <f aca="false">IF(OR(B133="",M133=""),"",RANK(M133,$M$3:$M$306)+COUNTIF($M$3:M133,M133)-1)</f>
        <v/>
      </c>
    </row>
    <row r="134" customFormat="false" ht="15" hidden="true" customHeight="true" outlineLevel="0" collapsed="false">
      <c r="A134" s="49" t="n">
        <v>22</v>
      </c>
      <c r="C134" s="54"/>
      <c r="M134" s="44" t="str">
        <f aca="false">IF(B134="","",IF(ISNUMBER(I134),I134,IFERROR(VALUE(SUBSTITUTE(SUBSTITUTE(I134,"$",""),".","")),0)))</f>
        <v/>
      </c>
      <c r="N134" s="44" t="str">
        <f aca="false">IF(B134="","",PROPER(TRIM(D134)))</f>
        <v/>
      </c>
      <c r="O134" s="44" t="str">
        <f aca="false">IF(B134="","",IF(OR(ISNUMBER(SEARCH("AL DIA",L134)),ISNUMBER(SEARCH("AL DIA",F134))),"Al día",IF(OR(ISNUMBER(SEARCH("QUIETO",L134)),ISNUMBER(SEARCH("QUIETO",F134)),ISNUMBER(SEARCH("ESPERANDO",L134)),ISNUMBER(SEARCH("ESPERANDO",F134))),"Sin respuesta / Inactivo",IF(OR(ISNUMBER(SEARCH("PENDIENTE",L134)),ISNUMBER(SEARCH("PENDIENTE",F134)),ISNUMBER(SEARCH("COMPROMISO",F134)),ISNUMBER(SEARCH("COMPROMISO",L134)),ISNUMBER(SEARCH("PROCESO",F134)),ISNUMBER(SEARCH("LLAMAR",F134)),ISNUMBER(SEARCH("ABONO",J134)),EXACT(L134,"P"),EXACT(F134,"P")),"Pendiente / Compromiso","Sin gestionar"))))</f>
        <v/>
      </c>
      <c r="P134" s="44" t="str">
        <f aca="false">IF(B134="","",IF(E134="","Sin definir",IF(ISNUMBER(SEARCH("ITIL",E134)),"ITIL",IF(ISNUMBER(SEARCH("ISO 27001",E134)),"ISO 27001",IF(ISNUMBER(SEARCH("ISO 42001",E134)),"ISO 42001",IF(ISNUMBER(SEARCH("ISO",E134)),"Otras ISO",IF(ISNUMBER(SEARCH("SCRUM",E134)),"SCRUM",IF(ISNUMBER(SEARCH("BRIDGE",E134)),"BRIDGE",IF(ISNUMBER(SEARCH("CDS",E134)),"CDS",IF(ISNUMBER(SEARCH("TOGAF",E134)),"TOGAF",IF(ISNUMBER(SEARCH("DPI",E134)),"DPI",IF(ISNUMBER(SEARCH("DITS",E134)),"DITS",IF(ISNUMBER(SEARCH("AGILE",E134)),"AGILE",IF(ISNUMBER(SEARCH("Ciberseguridad",E134)),"Ciberseguridad","Otros"))))))))))))))</f>
        <v/>
      </c>
      <c r="Q134" s="44" t="str">
        <f aca="false">IF(B134="","",IF(ISNUMBER(K134),IF(K134&lt;=3,"1-3 meses",IF(K134&lt;=6,"4-6 meses","+6 meses")),"Sin dato registrado"))</f>
        <v/>
      </c>
      <c r="R134" s="44" t="str">
        <f aca="false">IF(OR(B134="",M134=""),"",RANK(M134,$M$3:$M$306)+COUNTIF($M$3:M134,M134)-1)</f>
        <v/>
      </c>
    </row>
    <row r="135" customFormat="false" ht="15" hidden="true" customHeight="true" outlineLevel="0" collapsed="false">
      <c r="A135" s="50" t="n">
        <v>22</v>
      </c>
      <c r="C135" s="54"/>
      <c r="M135" s="44" t="str">
        <f aca="false">IF(B135="","",IF(ISNUMBER(I135),I135,IFERROR(VALUE(SUBSTITUTE(SUBSTITUTE(I135,"$",""),".","")),0)))</f>
        <v/>
      </c>
      <c r="N135" s="44" t="str">
        <f aca="false">IF(B135="","",PROPER(TRIM(D135)))</f>
        <v/>
      </c>
      <c r="O135" s="44" t="str">
        <f aca="false">IF(B135="","",IF(OR(ISNUMBER(SEARCH("AL DIA",L135)),ISNUMBER(SEARCH("AL DIA",F135))),"Al día",IF(OR(ISNUMBER(SEARCH("QUIETO",L135)),ISNUMBER(SEARCH("QUIETO",F135)),ISNUMBER(SEARCH("ESPERANDO",L135)),ISNUMBER(SEARCH("ESPERANDO",F135))),"Sin respuesta / Inactivo",IF(OR(ISNUMBER(SEARCH("PENDIENTE",L135)),ISNUMBER(SEARCH("PENDIENTE",F135)),ISNUMBER(SEARCH("COMPROMISO",F135)),ISNUMBER(SEARCH("COMPROMISO",L135)),ISNUMBER(SEARCH("PROCESO",F135)),ISNUMBER(SEARCH("LLAMAR",F135)),ISNUMBER(SEARCH("ABONO",J135)),EXACT(L135,"P"),EXACT(F135,"P")),"Pendiente / Compromiso","Sin gestionar"))))</f>
        <v/>
      </c>
      <c r="P135" s="44" t="str">
        <f aca="false">IF(B135="","",IF(E135="","Sin definir",IF(ISNUMBER(SEARCH("ITIL",E135)),"ITIL",IF(ISNUMBER(SEARCH("ISO 27001",E135)),"ISO 27001",IF(ISNUMBER(SEARCH("ISO 42001",E135)),"ISO 42001",IF(ISNUMBER(SEARCH("ISO",E135)),"Otras ISO",IF(ISNUMBER(SEARCH("SCRUM",E135)),"SCRUM",IF(ISNUMBER(SEARCH("BRIDGE",E135)),"BRIDGE",IF(ISNUMBER(SEARCH("CDS",E135)),"CDS",IF(ISNUMBER(SEARCH("TOGAF",E135)),"TOGAF",IF(ISNUMBER(SEARCH("DPI",E135)),"DPI",IF(ISNUMBER(SEARCH("DITS",E135)),"DITS",IF(ISNUMBER(SEARCH("AGILE",E135)),"AGILE",IF(ISNUMBER(SEARCH("Ciberseguridad",E135)),"Ciberseguridad","Otros"))))))))))))))</f>
        <v/>
      </c>
      <c r="Q135" s="44" t="str">
        <f aca="false">IF(B135="","",IF(ISNUMBER(K135),IF(K135&lt;=3,"1-3 meses",IF(K135&lt;=6,"4-6 meses","+6 meses")),"Sin dato registrado"))</f>
        <v/>
      </c>
      <c r="R135" s="44" t="str">
        <f aca="false">IF(OR(B135="",M135=""),"",RANK(M135,$M$3:$M$306)+COUNTIF($M$3:M135,M135)-1)</f>
        <v/>
      </c>
    </row>
    <row r="136" customFormat="false" ht="15" hidden="true" customHeight="true" outlineLevel="0" collapsed="false">
      <c r="A136" s="49" t="n">
        <v>22</v>
      </c>
      <c r="C136" s="54"/>
      <c r="M136" s="44" t="str">
        <f aca="false">IF(B136="","",IF(ISNUMBER(I136),I136,IFERROR(VALUE(SUBSTITUTE(SUBSTITUTE(I136,"$",""),".","")),0)))</f>
        <v/>
      </c>
      <c r="N136" s="44" t="str">
        <f aca="false">IF(B136="","",PROPER(TRIM(D136)))</f>
        <v/>
      </c>
      <c r="O136" s="44" t="str">
        <f aca="false">IF(B136="","",IF(OR(ISNUMBER(SEARCH("AL DIA",L136)),ISNUMBER(SEARCH("AL DIA",F136))),"Al día",IF(OR(ISNUMBER(SEARCH("QUIETO",L136)),ISNUMBER(SEARCH("QUIETO",F136)),ISNUMBER(SEARCH("ESPERANDO",L136)),ISNUMBER(SEARCH("ESPERANDO",F136))),"Sin respuesta / Inactivo",IF(OR(ISNUMBER(SEARCH("PENDIENTE",L136)),ISNUMBER(SEARCH("PENDIENTE",F136)),ISNUMBER(SEARCH("COMPROMISO",F136)),ISNUMBER(SEARCH("COMPROMISO",L136)),ISNUMBER(SEARCH("PROCESO",F136)),ISNUMBER(SEARCH("LLAMAR",F136)),ISNUMBER(SEARCH("ABONO",J136)),EXACT(L136,"P"),EXACT(F136,"P")),"Pendiente / Compromiso","Sin gestionar"))))</f>
        <v/>
      </c>
      <c r="P136" s="44" t="str">
        <f aca="false">IF(B136="","",IF(E136="","Sin definir",IF(ISNUMBER(SEARCH("ITIL",E136)),"ITIL",IF(ISNUMBER(SEARCH("ISO 27001",E136)),"ISO 27001",IF(ISNUMBER(SEARCH("ISO 42001",E136)),"ISO 42001",IF(ISNUMBER(SEARCH("ISO",E136)),"Otras ISO",IF(ISNUMBER(SEARCH("SCRUM",E136)),"SCRUM",IF(ISNUMBER(SEARCH("BRIDGE",E136)),"BRIDGE",IF(ISNUMBER(SEARCH("CDS",E136)),"CDS",IF(ISNUMBER(SEARCH("TOGAF",E136)),"TOGAF",IF(ISNUMBER(SEARCH("DPI",E136)),"DPI",IF(ISNUMBER(SEARCH("DITS",E136)),"DITS",IF(ISNUMBER(SEARCH("AGILE",E136)),"AGILE",IF(ISNUMBER(SEARCH("Ciberseguridad",E136)),"Ciberseguridad","Otros"))))))))))))))</f>
        <v/>
      </c>
      <c r="Q136" s="44" t="str">
        <f aca="false">IF(B136="","",IF(ISNUMBER(K136),IF(K136&lt;=3,"1-3 meses",IF(K136&lt;=6,"4-6 meses","+6 meses")),"Sin dato registrado"))</f>
        <v/>
      </c>
      <c r="R136" s="44" t="str">
        <f aca="false">IF(OR(B136="",M136=""),"",RANK(M136,$M$3:$M$306)+COUNTIF($M$3:M136,M136)-1)</f>
        <v/>
      </c>
    </row>
    <row r="137" customFormat="false" ht="15" hidden="true" customHeight="true" outlineLevel="0" collapsed="false">
      <c r="A137" s="50" t="n">
        <v>22</v>
      </c>
      <c r="C137" s="54"/>
      <c r="M137" s="44" t="str">
        <f aca="false">IF(B137="","",IF(ISNUMBER(I137),I137,IFERROR(VALUE(SUBSTITUTE(SUBSTITUTE(I137,"$",""),".","")),0)))</f>
        <v/>
      </c>
      <c r="N137" s="44" t="str">
        <f aca="false">IF(B137="","",PROPER(TRIM(D137)))</f>
        <v/>
      </c>
      <c r="O137" s="44" t="str">
        <f aca="false">IF(B137="","",IF(OR(ISNUMBER(SEARCH("AL DIA",L137)),ISNUMBER(SEARCH("AL DIA",F137))),"Al día",IF(OR(ISNUMBER(SEARCH("QUIETO",L137)),ISNUMBER(SEARCH("QUIETO",F137)),ISNUMBER(SEARCH("ESPERANDO",L137)),ISNUMBER(SEARCH("ESPERANDO",F137))),"Sin respuesta / Inactivo",IF(OR(ISNUMBER(SEARCH("PENDIENTE",L137)),ISNUMBER(SEARCH("PENDIENTE",F137)),ISNUMBER(SEARCH("COMPROMISO",F137)),ISNUMBER(SEARCH("COMPROMISO",L137)),ISNUMBER(SEARCH("PROCESO",F137)),ISNUMBER(SEARCH("LLAMAR",F137)),ISNUMBER(SEARCH("ABONO",J137)),EXACT(L137,"P"),EXACT(F137,"P")),"Pendiente / Compromiso","Sin gestionar"))))</f>
        <v/>
      </c>
      <c r="P137" s="44" t="str">
        <f aca="false">IF(B137="","",IF(E137="","Sin definir",IF(ISNUMBER(SEARCH("ITIL",E137)),"ITIL",IF(ISNUMBER(SEARCH("ISO 27001",E137)),"ISO 27001",IF(ISNUMBER(SEARCH("ISO 42001",E137)),"ISO 42001",IF(ISNUMBER(SEARCH("ISO",E137)),"Otras ISO",IF(ISNUMBER(SEARCH("SCRUM",E137)),"SCRUM",IF(ISNUMBER(SEARCH("BRIDGE",E137)),"BRIDGE",IF(ISNUMBER(SEARCH("CDS",E137)),"CDS",IF(ISNUMBER(SEARCH("TOGAF",E137)),"TOGAF",IF(ISNUMBER(SEARCH("DPI",E137)),"DPI",IF(ISNUMBER(SEARCH("DITS",E137)),"DITS",IF(ISNUMBER(SEARCH("AGILE",E137)),"AGILE",IF(ISNUMBER(SEARCH("Ciberseguridad",E137)),"Ciberseguridad","Otros"))))))))))))))</f>
        <v/>
      </c>
      <c r="Q137" s="44" t="str">
        <f aca="false">IF(B137="","",IF(ISNUMBER(K137),IF(K137&lt;=3,"1-3 meses",IF(K137&lt;=6,"4-6 meses","+6 meses")),"Sin dato registrado"))</f>
        <v/>
      </c>
      <c r="R137" s="44" t="str">
        <f aca="false">IF(OR(B137="",M137=""),"",RANK(M137,$M$3:$M$306)+COUNTIF($M$3:M137,M137)-1)</f>
        <v/>
      </c>
    </row>
    <row r="138" customFormat="false" ht="15" hidden="true" customHeight="true" outlineLevel="0" collapsed="false">
      <c r="A138" s="49" t="n">
        <v>22</v>
      </c>
      <c r="C138" s="54"/>
      <c r="M138" s="44" t="str">
        <f aca="false">IF(B138="","",IF(ISNUMBER(I138),I138,IFERROR(VALUE(SUBSTITUTE(SUBSTITUTE(I138,"$",""),".","")),0)))</f>
        <v/>
      </c>
      <c r="N138" s="44" t="str">
        <f aca="false">IF(B138="","",PROPER(TRIM(D138)))</f>
        <v/>
      </c>
      <c r="O138" s="44" t="str">
        <f aca="false">IF(B138="","",IF(OR(ISNUMBER(SEARCH("AL DIA",L138)),ISNUMBER(SEARCH("AL DIA",F138))),"Al día",IF(OR(ISNUMBER(SEARCH("QUIETO",L138)),ISNUMBER(SEARCH("QUIETO",F138)),ISNUMBER(SEARCH("ESPERANDO",L138)),ISNUMBER(SEARCH("ESPERANDO",F138))),"Sin respuesta / Inactivo",IF(OR(ISNUMBER(SEARCH("PENDIENTE",L138)),ISNUMBER(SEARCH("PENDIENTE",F138)),ISNUMBER(SEARCH("COMPROMISO",F138)),ISNUMBER(SEARCH("COMPROMISO",L138)),ISNUMBER(SEARCH("PROCESO",F138)),ISNUMBER(SEARCH("LLAMAR",F138)),ISNUMBER(SEARCH("ABONO",J138)),EXACT(L138,"P"),EXACT(F138,"P")),"Pendiente / Compromiso","Sin gestionar"))))</f>
        <v/>
      </c>
      <c r="P138" s="44" t="str">
        <f aca="false">IF(B138="","",IF(E138="","Sin definir",IF(ISNUMBER(SEARCH("ITIL",E138)),"ITIL",IF(ISNUMBER(SEARCH("ISO 27001",E138)),"ISO 27001",IF(ISNUMBER(SEARCH("ISO 42001",E138)),"ISO 42001",IF(ISNUMBER(SEARCH("ISO",E138)),"Otras ISO",IF(ISNUMBER(SEARCH("SCRUM",E138)),"SCRUM",IF(ISNUMBER(SEARCH("BRIDGE",E138)),"BRIDGE",IF(ISNUMBER(SEARCH("CDS",E138)),"CDS",IF(ISNUMBER(SEARCH("TOGAF",E138)),"TOGAF",IF(ISNUMBER(SEARCH("DPI",E138)),"DPI",IF(ISNUMBER(SEARCH("DITS",E138)),"DITS",IF(ISNUMBER(SEARCH("AGILE",E138)),"AGILE",IF(ISNUMBER(SEARCH("Ciberseguridad",E138)),"Ciberseguridad","Otros"))))))))))))))</f>
        <v/>
      </c>
      <c r="Q138" s="44" t="str">
        <f aca="false">IF(B138="","",IF(ISNUMBER(K138),IF(K138&lt;=3,"1-3 meses",IF(K138&lt;=6,"4-6 meses","+6 meses")),"Sin dato registrado"))</f>
        <v/>
      </c>
      <c r="R138" s="44" t="str">
        <f aca="false">IF(OR(B138="",M138=""),"",RANK(M138,$M$3:$M$306)+COUNTIF($M$3:M138,M138)-1)</f>
        <v/>
      </c>
    </row>
    <row r="139" customFormat="false" ht="15" hidden="true" customHeight="true" outlineLevel="0" collapsed="false">
      <c r="A139" s="50" t="n">
        <v>22</v>
      </c>
      <c r="C139" s="54"/>
      <c r="M139" s="44" t="str">
        <f aca="false">IF(B139="","",IF(ISNUMBER(I139),I139,IFERROR(VALUE(SUBSTITUTE(SUBSTITUTE(I139,"$",""),".","")),0)))</f>
        <v/>
      </c>
      <c r="N139" s="44" t="str">
        <f aca="false">IF(B139="","",PROPER(TRIM(D139)))</f>
        <v/>
      </c>
      <c r="O139" s="44" t="str">
        <f aca="false">IF(B139="","",IF(OR(ISNUMBER(SEARCH("AL DIA",L139)),ISNUMBER(SEARCH("AL DIA",F139))),"Al día",IF(OR(ISNUMBER(SEARCH("QUIETO",L139)),ISNUMBER(SEARCH("QUIETO",F139)),ISNUMBER(SEARCH("ESPERANDO",L139)),ISNUMBER(SEARCH("ESPERANDO",F139))),"Sin respuesta / Inactivo",IF(OR(ISNUMBER(SEARCH("PENDIENTE",L139)),ISNUMBER(SEARCH("PENDIENTE",F139)),ISNUMBER(SEARCH("COMPROMISO",F139)),ISNUMBER(SEARCH("COMPROMISO",L139)),ISNUMBER(SEARCH("PROCESO",F139)),ISNUMBER(SEARCH("LLAMAR",F139)),ISNUMBER(SEARCH("ABONO",J139)),EXACT(L139,"P"),EXACT(F139,"P")),"Pendiente / Compromiso","Sin gestionar"))))</f>
        <v/>
      </c>
      <c r="P139" s="44" t="str">
        <f aca="false">IF(B139="","",IF(E139="","Sin definir",IF(ISNUMBER(SEARCH("ITIL",E139)),"ITIL",IF(ISNUMBER(SEARCH("ISO 27001",E139)),"ISO 27001",IF(ISNUMBER(SEARCH("ISO 42001",E139)),"ISO 42001",IF(ISNUMBER(SEARCH("ISO",E139)),"Otras ISO",IF(ISNUMBER(SEARCH("SCRUM",E139)),"SCRUM",IF(ISNUMBER(SEARCH("BRIDGE",E139)),"BRIDGE",IF(ISNUMBER(SEARCH("CDS",E139)),"CDS",IF(ISNUMBER(SEARCH("TOGAF",E139)),"TOGAF",IF(ISNUMBER(SEARCH("DPI",E139)),"DPI",IF(ISNUMBER(SEARCH("DITS",E139)),"DITS",IF(ISNUMBER(SEARCH("AGILE",E139)),"AGILE",IF(ISNUMBER(SEARCH("Ciberseguridad",E139)),"Ciberseguridad","Otros"))))))))))))))</f>
        <v/>
      </c>
      <c r="Q139" s="44" t="str">
        <f aca="false">IF(B139="","",IF(ISNUMBER(K139),IF(K139&lt;=3,"1-3 meses",IF(K139&lt;=6,"4-6 meses","+6 meses")),"Sin dato registrado"))</f>
        <v/>
      </c>
      <c r="R139" s="44" t="str">
        <f aca="false">IF(OR(B139="",M139=""),"",RANK(M139,$M$3:$M$306)+COUNTIF($M$3:M139,M139)-1)</f>
        <v/>
      </c>
    </row>
    <row r="140" customFormat="false" ht="15" hidden="true" customHeight="true" outlineLevel="0" collapsed="false">
      <c r="A140" s="49" t="n">
        <v>22</v>
      </c>
      <c r="C140" s="54"/>
      <c r="M140" s="44" t="str">
        <f aca="false">IF(B140="","",IF(ISNUMBER(I140),I140,IFERROR(VALUE(SUBSTITUTE(SUBSTITUTE(I140,"$",""),".","")),0)))</f>
        <v/>
      </c>
      <c r="N140" s="44" t="str">
        <f aca="false">IF(B140="","",PROPER(TRIM(D140)))</f>
        <v/>
      </c>
      <c r="O140" s="44" t="str">
        <f aca="false">IF(B140="","",IF(OR(ISNUMBER(SEARCH("AL DIA",L140)),ISNUMBER(SEARCH("AL DIA",F140))),"Al día",IF(OR(ISNUMBER(SEARCH("QUIETO",L140)),ISNUMBER(SEARCH("QUIETO",F140)),ISNUMBER(SEARCH("ESPERANDO",L140)),ISNUMBER(SEARCH("ESPERANDO",F140))),"Sin respuesta / Inactivo",IF(OR(ISNUMBER(SEARCH("PENDIENTE",L140)),ISNUMBER(SEARCH("PENDIENTE",F140)),ISNUMBER(SEARCH("COMPROMISO",F140)),ISNUMBER(SEARCH("COMPROMISO",L140)),ISNUMBER(SEARCH("PROCESO",F140)),ISNUMBER(SEARCH("LLAMAR",F140)),ISNUMBER(SEARCH("ABONO",J140)),EXACT(L140,"P"),EXACT(F140,"P")),"Pendiente / Compromiso","Sin gestionar"))))</f>
        <v/>
      </c>
      <c r="P140" s="44" t="str">
        <f aca="false">IF(B140="","",IF(E140="","Sin definir",IF(ISNUMBER(SEARCH("ITIL",E140)),"ITIL",IF(ISNUMBER(SEARCH("ISO 27001",E140)),"ISO 27001",IF(ISNUMBER(SEARCH("ISO 42001",E140)),"ISO 42001",IF(ISNUMBER(SEARCH("ISO",E140)),"Otras ISO",IF(ISNUMBER(SEARCH("SCRUM",E140)),"SCRUM",IF(ISNUMBER(SEARCH("BRIDGE",E140)),"BRIDGE",IF(ISNUMBER(SEARCH("CDS",E140)),"CDS",IF(ISNUMBER(SEARCH("TOGAF",E140)),"TOGAF",IF(ISNUMBER(SEARCH("DPI",E140)),"DPI",IF(ISNUMBER(SEARCH("DITS",E140)),"DITS",IF(ISNUMBER(SEARCH("AGILE",E140)),"AGILE",IF(ISNUMBER(SEARCH("Ciberseguridad",E140)),"Ciberseguridad","Otros"))))))))))))))</f>
        <v/>
      </c>
      <c r="Q140" s="44" t="str">
        <f aca="false">IF(B140="","",IF(ISNUMBER(K140),IF(K140&lt;=3,"1-3 meses",IF(K140&lt;=6,"4-6 meses","+6 meses")),"Sin dato registrado"))</f>
        <v/>
      </c>
      <c r="R140" s="44" t="str">
        <f aca="false">IF(OR(B140="",M140=""),"",RANK(M140,$M$3:$M$306)+COUNTIF($M$3:M140,M140)-1)</f>
        <v/>
      </c>
    </row>
    <row r="141" customFormat="false" ht="15" hidden="true" customHeight="true" outlineLevel="0" collapsed="false">
      <c r="A141" s="50" t="n">
        <v>22</v>
      </c>
      <c r="C141" s="54"/>
      <c r="M141" s="44" t="str">
        <f aca="false">IF(B141="","",IF(ISNUMBER(I141),I141,IFERROR(VALUE(SUBSTITUTE(SUBSTITUTE(I141,"$",""),".","")),0)))</f>
        <v/>
      </c>
      <c r="N141" s="44" t="str">
        <f aca="false">IF(B141="","",PROPER(TRIM(D141)))</f>
        <v/>
      </c>
      <c r="O141" s="44" t="str">
        <f aca="false">IF(B141="","",IF(OR(ISNUMBER(SEARCH("AL DIA",L141)),ISNUMBER(SEARCH("AL DIA",F141))),"Al día",IF(OR(ISNUMBER(SEARCH("QUIETO",L141)),ISNUMBER(SEARCH("QUIETO",F141)),ISNUMBER(SEARCH("ESPERANDO",L141)),ISNUMBER(SEARCH("ESPERANDO",F141))),"Sin respuesta / Inactivo",IF(OR(ISNUMBER(SEARCH("PENDIENTE",L141)),ISNUMBER(SEARCH("PENDIENTE",F141)),ISNUMBER(SEARCH("COMPROMISO",F141)),ISNUMBER(SEARCH("COMPROMISO",L141)),ISNUMBER(SEARCH("PROCESO",F141)),ISNUMBER(SEARCH("LLAMAR",F141)),ISNUMBER(SEARCH("ABONO",J141)),EXACT(L141,"P"),EXACT(F141,"P")),"Pendiente / Compromiso","Sin gestionar"))))</f>
        <v/>
      </c>
      <c r="P141" s="44" t="str">
        <f aca="false">IF(B141="","",IF(E141="","Sin definir",IF(ISNUMBER(SEARCH("ITIL",E141)),"ITIL",IF(ISNUMBER(SEARCH("ISO 27001",E141)),"ISO 27001",IF(ISNUMBER(SEARCH("ISO 42001",E141)),"ISO 42001",IF(ISNUMBER(SEARCH("ISO",E141)),"Otras ISO",IF(ISNUMBER(SEARCH("SCRUM",E141)),"SCRUM",IF(ISNUMBER(SEARCH("BRIDGE",E141)),"BRIDGE",IF(ISNUMBER(SEARCH("CDS",E141)),"CDS",IF(ISNUMBER(SEARCH("TOGAF",E141)),"TOGAF",IF(ISNUMBER(SEARCH("DPI",E141)),"DPI",IF(ISNUMBER(SEARCH("DITS",E141)),"DITS",IF(ISNUMBER(SEARCH("AGILE",E141)),"AGILE",IF(ISNUMBER(SEARCH("Ciberseguridad",E141)),"Ciberseguridad","Otros"))))))))))))))</f>
        <v/>
      </c>
      <c r="Q141" s="44" t="str">
        <f aca="false">IF(B141="","",IF(ISNUMBER(K141),IF(K141&lt;=3,"1-3 meses",IF(K141&lt;=6,"4-6 meses","+6 meses")),"Sin dato registrado"))</f>
        <v/>
      </c>
      <c r="R141" s="44" t="str">
        <f aca="false">IF(OR(B141="",M141=""),"",RANK(M141,$M$3:$M$306)+COUNTIF($M$3:M141,M141)-1)</f>
        <v/>
      </c>
    </row>
    <row r="142" customFormat="false" ht="15" hidden="true" customHeight="true" outlineLevel="0" collapsed="false">
      <c r="A142" s="49" t="n">
        <v>22</v>
      </c>
      <c r="C142" s="54"/>
      <c r="M142" s="44" t="str">
        <f aca="false">IF(B142="","",IF(ISNUMBER(I142),I142,IFERROR(VALUE(SUBSTITUTE(SUBSTITUTE(I142,"$",""),".","")),0)))</f>
        <v/>
      </c>
      <c r="N142" s="44" t="str">
        <f aca="false">IF(B142="","",PROPER(TRIM(D142)))</f>
        <v/>
      </c>
      <c r="O142" s="44" t="str">
        <f aca="false">IF(B142="","",IF(OR(ISNUMBER(SEARCH("AL DIA",L142)),ISNUMBER(SEARCH("AL DIA",F142))),"Al día",IF(OR(ISNUMBER(SEARCH("QUIETO",L142)),ISNUMBER(SEARCH("QUIETO",F142)),ISNUMBER(SEARCH("ESPERANDO",L142)),ISNUMBER(SEARCH("ESPERANDO",F142))),"Sin respuesta / Inactivo",IF(OR(ISNUMBER(SEARCH("PENDIENTE",L142)),ISNUMBER(SEARCH("PENDIENTE",F142)),ISNUMBER(SEARCH("COMPROMISO",F142)),ISNUMBER(SEARCH("COMPROMISO",L142)),ISNUMBER(SEARCH("PROCESO",F142)),ISNUMBER(SEARCH("LLAMAR",F142)),ISNUMBER(SEARCH("ABONO",J142)),EXACT(L142,"P"),EXACT(F142,"P")),"Pendiente / Compromiso","Sin gestionar"))))</f>
        <v/>
      </c>
      <c r="P142" s="44" t="str">
        <f aca="false">IF(B142="","",IF(E142="","Sin definir",IF(ISNUMBER(SEARCH("ITIL",E142)),"ITIL",IF(ISNUMBER(SEARCH("ISO 27001",E142)),"ISO 27001",IF(ISNUMBER(SEARCH("ISO 42001",E142)),"ISO 42001",IF(ISNUMBER(SEARCH("ISO",E142)),"Otras ISO",IF(ISNUMBER(SEARCH("SCRUM",E142)),"SCRUM",IF(ISNUMBER(SEARCH("BRIDGE",E142)),"BRIDGE",IF(ISNUMBER(SEARCH("CDS",E142)),"CDS",IF(ISNUMBER(SEARCH("TOGAF",E142)),"TOGAF",IF(ISNUMBER(SEARCH("DPI",E142)),"DPI",IF(ISNUMBER(SEARCH("DITS",E142)),"DITS",IF(ISNUMBER(SEARCH("AGILE",E142)),"AGILE",IF(ISNUMBER(SEARCH("Ciberseguridad",E142)),"Ciberseguridad","Otros"))))))))))))))</f>
        <v/>
      </c>
      <c r="Q142" s="44" t="str">
        <f aca="false">IF(B142="","",IF(ISNUMBER(K142),IF(K142&lt;=3,"1-3 meses",IF(K142&lt;=6,"4-6 meses","+6 meses")),"Sin dato registrado"))</f>
        <v/>
      </c>
      <c r="R142" s="44" t="str">
        <f aca="false">IF(OR(B142="",M142=""),"",RANK(M142,$M$3:$M$306)+COUNTIF($M$3:M142,M142)-1)</f>
        <v/>
      </c>
    </row>
    <row r="143" customFormat="false" ht="15" hidden="true" customHeight="true" outlineLevel="0" collapsed="false">
      <c r="A143" s="50" t="n">
        <v>22</v>
      </c>
      <c r="C143" s="54"/>
      <c r="M143" s="44" t="str">
        <f aca="false">IF(B143="","",IF(ISNUMBER(I143),I143,IFERROR(VALUE(SUBSTITUTE(SUBSTITUTE(I143,"$",""),".","")),0)))</f>
        <v/>
      </c>
      <c r="N143" s="44" t="str">
        <f aca="false">IF(B143="","",PROPER(TRIM(D143)))</f>
        <v/>
      </c>
      <c r="O143" s="44" t="str">
        <f aca="false">IF(B143="","",IF(OR(ISNUMBER(SEARCH("AL DIA",L143)),ISNUMBER(SEARCH("AL DIA",F143))),"Al día",IF(OR(ISNUMBER(SEARCH("QUIETO",L143)),ISNUMBER(SEARCH("QUIETO",F143)),ISNUMBER(SEARCH("ESPERANDO",L143)),ISNUMBER(SEARCH("ESPERANDO",F143))),"Sin respuesta / Inactivo",IF(OR(ISNUMBER(SEARCH("PENDIENTE",L143)),ISNUMBER(SEARCH("PENDIENTE",F143)),ISNUMBER(SEARCH("COMPROMISO",F143)),ISNUMBER(SEARCH("COMPROMISO",L143)),ISNUMBER(SEARCH("PROCESO",F143)),ISNUMBER(SEARCH("LLAMAR",F143)),ISNUMBER(SEARCH("ABONO",J143)),EXACT(L143,"P"),EXACT(F143,"P")),"Pendiente / Compromiso","Sin gestionar"))))</f>
        <v/>
      </c>
      <c r="P143" s="44" t="str">
        <f aca="false">IF(B143="","",IF(E143="","Sin definir",IF(ISNUMBER(SEARCH("ITIL",E143)),"ITIL",IF(ISNUMBER(SEARCH("ISO 27001",E143)),"ISO 27001",IF(ISNUMBER(SEARCH("ISO 42001",E143)),"ISO 42001",IF(ISNUMBER(SEARCH("ISO",E143)),"Otras ISO",IF(ISNUMBER(SEARCH("SCRUM",E143)),"SCRUM",IF(ISNUMBER(SEARCH("BRIDGE",E143)),"BRIDGE",IF(ISNUMBER(SEARCH("CDS",E143)),"CDS",IF(ISNUMBER(SEARCH("TOGAF",E143)),"TOGAF",IF(ISNUMBER(SEARCH("DPI",E143)),"DPI",IF(ISNUMBER(SEARCH("DITS",E143)),"DITS",IF(ISNUMBER(SEARCH("AGILE",E143)),"AGILE",IF(ISNUMBER(SEARCH("Ciberseguridad",E143)),"Ciberseguridad","Otros"))))))))))))))</f>
        <v/>
      </c>
      <c r="Q143" s="44" t="str">
        <f aca="false">IF(B143="","",IF(ISNUMBER(K143),IF(K143&lt;=3,"1-3 meses",IF(K143&lt;=6,"4-6 meses","+6 meses")),"Sin dato registrado"))</f>
        <v/>
      </c>
      <c r="R143" s="44" t="str">
        <f aca="false">IF(OR(B143="",M143=""),"",RANK(M143,$M$3:$M$306)+COUNTIF($M$3:M143,M143)-1)</f>
        <v/>
      </c>
    </row>
    <row r="144" customFormat="false" ht="15" hidden="true" customHeight="true" outlineLevel="0" collapsed="false">
      <c r="A144" s="49" t="n">
        <v>22</v>
      </c>
      <c r="C144" s="54"/>
      <c r="M144" s="44" t="str">
        <f aca="false">IF(B144="","",IF(ISNUMBER(I144),I144,IFERROR(VALUE(SUBSTITUTE(SUBSTITUTE(I144,"$",""),".","")),0)))</f>
        <v/>
      </c>
      <c r="N144" s="44" t="str">
        <f aca="false">IF(B144="","",PROPER(TRIM(D144)))</f>
        <v/>
      </c>
      <c r="O144" s="44" t="str">
        <f aca="false">IF(B144="","",IF(OR(ISNUMBER(SEARCH("AL DIA",L144)),ISNUMBER(SEARCH("AL DIA",F144))),"Al día",IF(OR(ISNUMBER(SEARCH("QUIETO",L144)),ISNUMBER(SEARCH("QUIETO",F144)),ISNUMBER(SEARCH("ESPERANDO",L144)),ISNUMBER(SEARCH("ESPERANDO",F144))),"Sin respuesta / Inactivo",IF(OR(ISNUMBER(SEARCH("PENDIENTE",L144)),ISNUMBER(SEARCH("PENDIENTE",F144)),ISNUMBER(SEARCH("COMPROMISO",F144)),ISNUMBER(SEARCH("COMPROMISO",L144)),ISNUMBER(SEARCH("PROCESO",F144)),ISNUMBER(SEARCH("LLAMAR",F144)),ISNUMBER(SEARCH("ABONO",J144)),EXACT(L144,"P"),EXACT(F144,"P")),"Pendiente / Compromiso","Sin gestionar"))))</f>
        <v/>
      </c>
      <c r="P144" s="44" t="str">
        <f aca="false">IF(B144="","",IF(E144="","Sin definir",IF(ISNUMBER(SEARCH("ITIL",E144)),"ITIL",IF(ISNUMBER(SEARCH("ISO 27001",E144)),"ISO 27001",IF(ISNUMBER(SEARCH("ISO 42001",E144)),"ISO 42001",IF(ISNUMBER(SEARCH("ISO",E144)),"Otras ISO",IF(ISNUMBER(SEARCH("SCRUM",E144)),"SCRUM",IF(ISNUMBER(SEARCH("BRIDGE",E144)),"BRIDGE",IF(ISNUMBER(SEARCH("CDS",E144)),"CDS",IF(ISNUMBER(SEARCH("TOGAF",E144)),"TOGAF",IF(ISNUMBER(SEARCH("DPI",E144)),"DPI",IF(ISNUMBER(SEARCH("DITS",E144)),"DITS",IF(ISNUMBER(SEARCH("AGILE",E144)),"AGILE",IF(ISNUMBER(SEARCH("Ciberseguridad",E144)),"Ciberseguridad","Otros"))))))))))))))</f>
        <v/>
      </c>
      <c r="Q144" s="44" t="str">
        <f aca="false">IF(B144="","",IF(ISNUMBER(K144),IF(K144&lt;=3,"1-3 meses",IF(K144&lt;=6,"4-6 meses","+6 meses")),"Sin dato registrado"))</f>
        <v/>
      </c>
      <c r="R144" s="44" t="str">
        <f aca="false">IF(OR(B144="",M144=""),"",RANK(M144,$M$3:$M$306)+COUNTIF($M$3:M144,M144)-1)</f>
        <v/>
      </c>
    </row>
    <row r="145" customFormat="false" ht="15" hidden="true" customHeight="true" outlineLevel="0" collapsed="false">
      <c r="A145" s="50" t="n">
        <v>22</v>
      </c>
      <c r="C145" s="54"/>
      <c r="M145" s="44" t="str">
        <f aca="false">IF(B145="","",IF(ISNUMBER(I145),I145,IFERROR(VALUE(SUBSTITUTE(SUBSTITUTE(I145,"$",""),".","")),0)))</f>
        <v/>
      </c>
      <c r="N145" s="44" t="str">
        <f aca="false">IF(B145="","",PROPER(TRIM(D145)))</f>
        <v/>
      </c>
      <c r="O145" s="44" t="str">
        <f aca="false">IF(B145="","",IF(OR(ISNUMBER(SEARCH("AL DIA",L145)),ISNUMBER(SEARCH("AL DIA",F145))),"Al día",IF(OR(ISNUMBER(SEARCH("QUIETO",L145)),ISNUMBER(SEARCH("QUIETO",F145)),ISNUMBER(SEARCH("ESPERANDO",L145)),ISNUMBER(SEARCH("ESPERANDO",F145))),"Sin respuesta / Inactivo",IF(OR(ISNUMBER(SEARCH("PENDIENTE",L145)),ISNUMBER(SEARCH("PENDIENTE",F145)),ISNUMBER(SEARCH("COMPROMISO",F145)),ISNUMBER(SEARCH("COMPROMISO",L145)),ISNUMBER(SEARCH("PROCESO",F145)),ISNUMBER(SEARCH("LLAMAR",F145)),ISNUMBER(SEARCH("ABONO",J145)),EXACT(L145,"P"),EXACT(F145,"P")),"Pendiente / Compromiso","Sin gestionar"))))</f>
        <v/>
      </c>
      <c r="P145" s="44" t="str">
        <f aca="false">IF(B145="","",IF(E145="","Sin definir",IF(ISNUMBER(SEARCH("ITIL",E145)),"ITIL",IF(ISNUMBER(SEARCH("ISO 27001",E145)),"ISO 27001",IF(ISNUMBER(SEARCH("ISO 42001",E145)),"ISO 42001",IF(ISNUMBER(SEARCH("ISO",E145)),"Otras ISO",IF(ISNUMBER(SEARCH("SCRUM",E145)),"SCRUM",IF(ISNUMBER(SEARCH("BRIDGE",E145)),"BRIDGE",IF(ISNUMBER(SEARCH("CDS",E145)),"CDS",IF(ISNUMBER(SEARCH("TOGAF",E145)),"TOGAF",IF(ISNUMBER(SEARCH("DPI",E145)),"DPI",IF(ISNUMBER(SEARCH("DITS",E145)),"DITS",IF(ISNUMBER(SEARCH("AGILE",E145)),"AGILE",IF(ISNUMBER(SEARCH("Ciberseguridad",E145)),"Ciberseguridad","Otros"))))))))))))))</f>
        <v/>
      </c>
      <c r="Q145" s="44" t="str">
        <f aca="false">IF(B145="","",IF(ISNUMBER(K145),IF(K145&lt;=3,"1-3 meses",IF(K145&lt;=6,"4-6 meses","+6 meses")),"Sin dato registrado"))</f>
        <v/>
      </c>
      <c r="R145" s="44" t="str">
        <f aca="false">IF(OR(B145="",M145=""),"",RANK(M145,$M$3:$M$306)+COUNTIF($M$3:M145,M145)-1)</f>
        <v/>
      </c>
    </row>
    <row r="146" customFormat="false" ht="15" hidden="true" customHeight="true" outlineLevel="0" collapsed="false">
      <c r="A146" s="49" t="n">
        <v>22</v>
      </c>
      <c r="C146" s="54"/>
      <c r="M146" s="44" t="str">
        <f aca="false">IF(B146="","",IF(ISNUMBER(I146),I146,IFERROR(VALUE(SUBSTITUTE(SUBSTITUTE(I146,"$",""),".","")),0)))</f>
        <v/>
      </c>
      <c r="N146" s="44" t="str">
        <f aca="false">IF(B146="","",PROPER(TRIM(D146)))</f>
        <v/>
      </c>
      <c r="O146" s="44" t="str">
        <f aca="false">IF(B146="","",IF(OR(ISNUMBER(SEARCH("AL DIA",L146)),ISNUMBER(SEARCH("AL DIA",F146))),"Al día",IF(OR(ISNUMBER(SEARCH("QUIETO",L146)),ISNUMBER(SEARCH("QUIETO",F146)),ISNUMBER(SEARCH("ESPERANDO",L146)),ISNUMBER(SEARCH("ESPERANDO",F146))),"Sin respuesta / Inactivo",IF(OR(ISNUMBER(SEARCH("PENDIENTE",L146)),ISNUMBER(SEARCH("PENDIENTE",F146)),ISNUMBER(SEARCH("COMPROMISO",F146)),ISNUMBER(SEARCH("COMPROMISO",L146)),ISNUMBER(SEARCH("PROCESO",F146)),ISNUMBER(SEARCH("LLAMAR",F146)),ISNUMBER(SEARCH("ABONO",J146)),EXACT(L146,"P"),EXACT(F146,"P")),"Pendiente / Compromiso","Sin gestionar"))))</f>
        <v/>
      </c>
      <c r="P146" s="44" t="str">
        <f aca="false">IF(B146="","",IF(E146="","Sin definir",IF(ISNUMBER(SEARCH("ITIL",E146)),"ITIL",IF(ISNUMBER(SEARCH("ISO 27001",E146)),"ISO 27001",IF(ISNUMBER(SEARCH("ISO 42001",E146)),"ISO 42001",IF(ISNUMBER(SEARCH("ISO",E146)),"Otras ISO",IF(ISNUMBER(SEARCH("SCRUM",E146)),"SCRUM",IF(ISNUMBER(SEARCH("BRIDGE",E146)),"BRIDGE",IF(ISNUMBER(SEARCH("CDS",E146)),"CDS",IF(ISNUMBER(SEARCH("TOGAF",E146)),"TOGAF",IF(ISNUMBER(SEARCH("DPI",E146)),"DPI",IF(ISNUMBER(SEARCH("DITS",E146)),"DITS",IF(ISNUMBER(SEARCH("AGILE",E146)),"AGILE",IF(ISNUMBER(SEARCH("Ciberseguridad",E146)),"Ciberseguridad","Otros"))))))))))))))</f>
        <v/>
      </c>
      <c r="Q146" s="44" t="str">
        <f aca="false">IF(B146="","",IF(ISNUMBER(K146),IF(K146&lt;=3,"1-3 meses",IF(K146&lt;=6,"4-6 meses","+6 meses")),"Sin dato registrado"))</f>
        <v/>
      </c>
      <c r="R146" s="44" t="str">
        <f aca="false">IF(OR(B146="",M146=""),"",RANK(M146,$M$3:$M$306)+COUNTIF($M$3:M146,M146)-1)</f>
        <v/>
      </c>
    </row>
    <row r="147" customFormat="false" ht="15" hidden="true" customHeight="true" outlineLevel="0" collapsed="false">
      <c r="A147" s="50" t="n">
        <v>22</v>
      </c>
      <c r="C147" s="54"/>
      <c r="M147" s="44" t="str">
        <f aca="false">IF(B147="","",IF(ISNUMBER(I147),I147,IFERROR(VALUE(SUBSTITUTE(SUBSTITUTE(I147,"$",""),".","")),0)))</f>
        <v/>
      </c>
      <c r="N147" s="44" t="str">
        <f aca="false">IF(B147="","",PROPER(TRIM(D147)))</f>
        <v/>
      </c>
      <c r="O147" s="44" t="str">
        <f aca="false">IF(B147="","",IF(OR(ISNUMBER(SEARCH("AL DIA",L147)),ISNUMBER(SEARCH("AL DIA",F147))),"Al día",IF(OR(ISNUMBER(SEARCH("QUIETO",L147)),ISNUMBER(SEARCH("QUIETO",F147)),ISNUMBER(SEARCH("ESPERANDO",L147)),ISNUMBER(SEARCH("ESPERANDO",F147))),"Sin respuesta / Inactivo",IF(OR(ISNUMBER(SEARCH("PENDIENTE",L147)),ISNUMBER(SEARCH("PENDIENTE",F147)),ISNUMBER(SEARCH("COMPROMISO",F147)),ISNUMBER(SEARCH("COMPROMISO",L147)),ISNUMBER(SEARCH("PROCESO",F147)),ISNUMBER(SEARCH("LLAMAR",F147)),ISNUMBER(SEARCH("ABONO",J147)),EXACT(L147,"P"),EXACT(F147,"P")),"Pendiente / Compromiso","Sin gestionar"))))</f>
        <v/>
      </c>
      <c r="P147" s="44" t="str">
        <f aca="false">IF(B147="","",IF(E147="","Sin definir",IF(ISNUMBER(SEARCH("ITIL",E147)),"ITIL",IF(ISNUMBER(SEARCH("ISO 27001",E147)),"ISO 27001",IF(ISNUMBER(SEARCH("ISO 42001",E147)),"ISO 42001",IF(ISNUMBER(SEARCH("ISO",E147)),"Otras ISO",IF(ISNUMBER(SEARCH("SCRUM",E147)),"SCRUM",IF(ISNUMBER(SEARCH("BRIDGE",E147)),"BRIDGE",IF(ISNUMBER(SEARCH("CDS",E147)),"CDS",IF(ISNUMBER(SEARCH("TOGAF",E147)),"TOGAF",IF(ISNUMBER(SEARCH("DPI",E147)),"DPI",IF(ISNUMBER(SEARCH("DITS",E147)),"DITS",IF(ISNUMBER(SEARCH("AGILE",E147)),"AGILE",IF(ISNUMBER(SEARCH("Ciberseguridad",E147)),"Ciberseguridad","Otros"))))))))))))))</f>
        <v/>
      </c>
      <c r="Q147" s="44" t="str">
        <f aca="false">IF(B147="","",IF(ISNUMBER(K147),IF(K147&lt;=3,"1-3 meses",IF(K147&lt;=6,"4-6 meses","+6 meses")),"Sin dato registrado"))</f>
        <v/>
      </c>
      <c r="R147" s="44" t="str">
        <f aca="false">IF(OR(B147="",M147=""),"",RANK(M147,$M$3:$M$306)+COUNTIF($M$3:M147,M147)-1)</f>
        <v/>
      </c>
    </row>
    <row r="148" customFormat="false" ht="15" hidden="true" customHeight="true" outlineLevel="0" collapsed="false">
      <c r="A148" s="49" t="n">
        <v>22</v>
      </c>
      <c r="C148" s="54"/>
      <c r="M148" s="44" t="str">
        <f aca="false">IF(B148="","",IF(ISNUMBER(I148),I148,IFERROR(VALUE(SUBSTITUTE(SUBSTITUTE(I148,"$",""),".","")),0)))</f>
        <v/>
      </c>
      <c r="N148" s="44" t="str">
        <f aca="false">IF(B148="","",PROPER(TRIM(D148)))</f>
        <v/>
      </c>
      <c r="O148" s="44" t="str">
        <f aca="false">IF(B148="","",IF(OR(ISNUMBER(SEARCH("AL DIA",L148)),ISNUMBER(SEARCH("AL DIA",F148))),"Al día",IF(OR(ISNUMBER(SEARCH("QUIETO",L148)),ISNUMBER(SEARCH("QUIETO",F148)),ISNUMBER(SEARCH("ESPERANDO",L148)),ISNUMBER(SEARCH("ESPERANDO",F148))),"Sin respuesta / Inactivo",IF(OR(ISNUMBER(SEARCH("PENDIENTE",L148)),ISNUMBER(SEARCH("PENDIENTE",F148)),ISNUMBER(SEARCH("COMPROMISO",F148)),ISNUMBER(SEARCH("COMPROMISO",L148)),ISNUMBER(SEARCH("PROCESO",F148)),ISNUMBER(SEARCH("LLAMAR",F148)),ISNUMBER(SEARCH("ABONO",J148)),EXACT(L148,"P"),EXACT(F148,"P")),"Pendiente / Compromiso","Sin gestionar"))))</f>
        <v/>
      </c>
      <c r="P148" s="44" t="str">
        <f aca="false">IF(B148="","",IF(E148="","Sin definir",IF(ISNUMBER(SEARCH("ITIL",E148)),"ITIL",IF(ISNUMBER(SEARCH("ISO 27001",E148)),"ISO 27001",IF(ISNUMBER(SEARCH("ISO 42001",E148)),"ISO 42001",IF(ISNUMBER(SEARCH("ISO",E148)),"Otras ISO",IF(ISNUMBER(SEARCH("SCRUM",E148)),"SCRUM",IF(ISNUMBER(SEARCH("BRIDGE",E148)),"BRIDGE",IF(ISNUMBER(SEARCH("CDS",E148)),"CDS",IF(ISNUMBER(SEARCH("TOGAF",E148)),"TOGAF",IF(ISNUMBER(SEARCH("DPI",E148)),"DPI",IF(ISNUMBER(SEARCH("DITS",E148)),"DITS",IF(ISNUMBER(SEARCH("AGILE",E148)),"AGILE",IF(ISNUMBER(SEARCH("Ciberseguridad",E148)),"Ciberseguridad","Otros"))))))))))))))</f>
        <v/>
      </c>
      <c r="Q148" s="44" t="str">
        <f aca="false">IF(B148="","",IF(ISNUMBER(K148),IF(K148&lt;=3,"1-3 meses",IF(K148&lt;=6,"4-6 meses","+6 meses")),"Sin dato registrado"))</f>
        <v/>
      </c>
      <c r="R148" s="44" t="str">
        <f aca="false">IF(OR(B148="",M148=""),"",RANK(M148,$M$3:$M$306)+COUNTIF($M$3:M148,M148)-1)</f>
        <v/>
      </c>
    </row>
    <row r="149" customFormat="false" ht="15" hidden="true" customHeight="true" outlineLevel="0" collapsed="false">
      <c r="A149" s="50" t="n">
        <v>22</v>
      </c>
      <c r="C149" s="54"/>
      <c r="M149" s="44" t="str">
        <f aca="false">IF(B149="","",IF(ISNUMBER(I149),I149,IFERROR(VALUE(SUBSTITUTE(SUBSTITUTE(I149,"$",""),".","")),0)))</f>
        <v/>
      </c>
      <c r="N149" s="44" t="str">
        <f aca="false">IF(B149="","",PROPER(TRIM(D149)))</f>
        <v/>
      </c>
      <c r="O149" s="44" t="str">
        <f aca="false">IF(B149="","",IF(OR(ISNUMBER(SEARCH("AL DIA",L149)),ISNUMBER(SEARCH("AL DIA",F149))),"Al día",IF(OR(ISNUMBER(SEARCH("QUIETO",L149)),ISNUMBER(SEARCH("QUIETO",F149)),ISNUMBER(SEARCH("ESPERANDO",L149)),ISNUMBER(SEARCH("ESPERANDO",F149))),"Sin respuesta / Inactivo",IF(OR(ISNUMBER(SEARCH("PENDIENTE",L149)),ISNUMBER(SEARCH("PENDIENTE",F149)),ISNUMBER(SEARCH("COMPROMISO",F149)),ISNUMBER(SEARCH("COMPROMISO",L149)),ISNUMBER(SEARCH("PROCESO",F149)),ISNUMBER(SEARCH("LLAMAR",F149)),ISNUMBER(SEARCH("ABONO",J149)),EXACT(L149,"P"),EXACT(F149,"P")),"Pendiente / Compromiso","Sin gestionar"))))</f>
        <v/>
      </c>
      <c r="P149" s="44" t="str">
        <f aca="false">IF(B149="","",IF(E149="","Sin definir",IF(ISNUMBER(SEARCH("ITIL",E149)),"ITIL",IF(ISNUMBER(SEARCH("ISO 27001",E149)),"ISO 27001",IF(ISNUMBER(SEARCH("ISO 42001",E149)),"ISO 42001",IF(ISNUMBER(SEARCH("ISO",E149)),"Otras ISO",IF(ISNUMBER(SEARCH("SCRUM",E149)),"SCRUM",IF(ISNUMBER(SEARCH("BRIDGE",E149)),"BRIDGE",IF(ISNUMBER(SEARCH("CDS",E149)),"CDS",IF(ISNUMBER(SEARCH("TOGAF",E149)),"TOGAF",IF(ISNUMBER(SEARCH("DPI",E149)),"DPI",IF(ISNUMBER(SEARCH("DITS",E149)),"DITS",IF(ISNUMBER(SEARCH("AGILE",E149)),"AGILE",IF(ISNUMBER(SEARCH("Ciberseguridad",E149)),"Ciberseguridad","Otros"))))))))))))))</f>
        <v/>
      </c>
      <c r="Q149" s="44" t="str">
        <f aca="false">IF(B149="","",IF(ISNUMBER(K149),IF(K149&lt;=3,"1-3 meses",IF(K149&lt;=6,"4-6 meses","+6 meses")),"Sin dato registrado"))</f>
        <v/>
      </c>
      <c r="R149" s="44" t="str">
        <f aca="false">IF(OR(B149="",M149=""),"",RANK(M149,$M$3:$M$306)+COUNTIF($M$3:M149,M149)-1)</f>
        <v/>
      </c>
    </row>
    <row r="150" customFormat="false" ht="15" hidden="true" customHeight="true" outlineLevel="0" collapsed="false">
      <c r="A150" s="49" t="n">
        <v>22</v>
      </c>
      <c r="C150" s="54"/>
      <c r="M150" s="44" t="str">
        <f aca="false">IF(B150="","",IF(ISNUMBER(I150),I150,IFERROR(VALUE(SUBSTITUTE(SUBSTITUTE(I150,"$",""),".","")),0)))</f>
        <v/>
      </c>
      <c r="N150" s="44" t="str">
        <f aca="false">IF(B150="","",PROPER(TRIM(D150)))</f>
        <v/>
      </c>
      <c r="O150" s="44" t="str">
        <f aca="false">IF(B150="","",IF(OR(ISNUMBER(SEARCH("AL DIA",L150)),ISNUMBER(SEARCH("AL DIA",F150))),"Al día",IF(OR(ISNUMBER(SEARCH("QUIETO",L150)),ISNUMBER(SEARCH("QUIETO",F150)),ISNUMBER(SEARCH("ESPERANDO",L150)),ISNUMBER(SEARCH("ESPERANDO",F150))),"Sin respuesta / Inactivo",IF(OR(ISNUMBER(SEARCH("PENDIENTE",L150)),ISNUMBER(SEARCH("PENDIENTE",F150)),ISNUMBER(SEARCH("COMPROMISO",F150)),ISNUMBER(SEARCH("COMPROMISO",L150)),ISNUMBER(SEARCH("PROCESO",F150)),ISNUMBER(SEARCH("LLAMAR",F150)),ISNUMBER(SEARCH("ABONO",J150)),EXACT(L150,"P"),EXACT(F150,"P")),"Pendiente / Compromiso","Sin gestionar"))))</f>
        <v/>
      </c>
      <c r="P150" s="44" t="str">
        <f aca="false">IF(B150="","",IF(E150="","Sin definir",IF(ISNUMBER(SEARCH("ITIL",E150)),"ITIL",IF(ISNUMBER(SEARCH("ISO 27001",E150)),"ISO 27001",IF(ISNUMBER(SEARCH("ISO 42001",E150)),"ISO 42001",IF(ISNUMBER(SEARCH("ISO",E150)),"Otras ISO",IF(ISNUMBER(SEARCH("SCRUM",E150)),"SCRUM",IF(ISNUMBER(SEARCH("BRIDGE",E150)),"BRIDGE",IF(ISNUMBER(SEARCH("CDS",E150)),"CDS",IF(ISNUMBER(SEARCH("TOGAF",E150)),"TOGAF",IF(ISNUMBER(SEARCH("DPI",E150)),"DPI",IF(ISNUMBER(SEARCH("DITS",E150)),"DITS",IF(ISNUMBER(SEARCH("AGILE",E150)),"AGILE",IF(ISNUMBER(SEARCH("Ciberseguridad",E150)),"Ciberseguridad","Otros"))))))))))))))</f>
        <v/>
      </c>
      <c r="Q150" s="44" t="str">
        <f aca="false">IF(B150="","",IF(ISNUMBER(K150),IF(K150&lt;=3,"1-3 meses",IF(K150&lt;=6,"4-6 meses","+6 meses")),"Sin dato registrado"))</f>
        <v/>
      </c>
      <c r="R150" s="44" t="str">
        <f aca="false">IF(OR(B150="",M150=""),"",RANK(M150,$M$3:$M$306)+COUNTIF($M$3:M150,M150)-1)</f>
        <v/>
      </c>
    </row>
    <row r="151" customFormat="false" ht="15" hidden="true" customHeight="true" outlineLevel="0" collapsed="false">
      <c r="A151" s="50" t="n">
        <v>22</v>
      </c>
      <c r="C151" s="54"/>
      <c r="M151" s="44" t="str">
        <f aca="false">IF(B151="","",IF(ISNUMBER(I151),I151,IFERROR(VALUE(SUBSTITUTE(SUBSTITUTE(I151,"$",""),".","")),0)))</f>
        <v/>
      </c>
      <c r="N151" s="44" t="str">
        <f aca="false">IF(B151="","",PROPER(TRIM(D151)))</f>
        <v/>
      </c>
      <c r="O151" s="44" t="str">
        <f aca="false">IF(B151="","",IF(OR(ISNUMBER(SEARCH("AL DIA",L151)),ISNUMBER(SEARCH("AL DIA",F151))),"Al día",IF(OR(ISNUMBER(SEARCH("QUIETO",L151)),ISNUMBER(SEARCH("QUIETO",F151)),ISNUMBER(SEARCH("ESPERANDO",L151)),ISNUMBER(SEARCH("ESPERANDO",F151))),"Sin respuesta / Inactivo",IF(OR(ISNUMBER(SEARCH("PENDIENTE",L151)),ISNUMBER(SEARCH("PENDIENTE",F151)),ISNUMBER(SEARCH("COMPROMISO",F151)),ISNUMBER(SEARCH("COMPROMISO",L151)),ISNUMBER(SEARCH("PROCESO",F151)),ISNUMBER(SEARCH("LLAMAR",F151)),ISNUMBER(SEARCH("ABONO",J151)),EXACT(L151,"P"),EXACT(F151,"P")),"Pendiente / Compromiso","Sin gestionar"))))</f>
        <v/>
      </c>
      <c r="P151" s="44" t="str">
        <f aca="false">IF(B151="","",IF(E151="","Sin definir",IF(ISNUMBER(SEARCH("ITIL",E151)),"ITIL",IF(ISNUMBER(SEARCH("ISO 27001",E151)),"ISO 27001",IF(ISNUMBER(SEARCH("ISO 42001",E151)),"ISO 42001",IF(ISNUMBER(SEARCH("ISO",E151)),"Otras ISO",IF(ISNUMBER(SEARCH("SCRUM",E151)),"SCRUM",IF(ISNUMBER(SEARCH("BRIDGE",E151)),"BRIDGE",IF(ISNUMBER(SEARCH("CDS",E151)),"CDS",IF(ISNUMBER(SEARCH("TOGAF",E151)),"TOGAF",IF(ISNUMBER(SEARCH("DPI",E151)),"DPI",IF(ISNUMBER(SEARCH("DITS",E151)),"DITS",IF(ISNUMBER(SEARCH("AGILE",E151)),"AGILE",IF(ISNUMBER(SEARCH("Ciberseguridad",E151)),"Ciberseguridad","Otros"))))))))))))))</f>
        <v/>
      </c>
      <c r="Q151" s="44" t="str">
        <f aca="false">IF(B151="","",IF(ISNUMBER(K151),IF(K151&lt;=3,"1-3 meses",IF(K151&lt;=6,"4-6 meses","+6 meses")),"Sin dato registrado"))</f>
        <v/>
      </c>
      <c r="R151" s="44" t="str">
        <f aca="false">IF(OR(B151="",M151=""),"",RANK(M151,$M$3:$M$306)+COUNTIF($M$3:M151,M151)-1)</f>
        <v/>
      </c>
    </row>
    <row r="152" customFormat="false" ht="15" hidden="true" customHeight="true" outlineLevel="0" collapsed="false">
      <c r="A152" s="49" t="n">
        <v>22</v>
      </c>
      <c r="C152" s="54"/>
      <c r="M152" s="44" t="str">
        <f aca="false">IF(B152="","",IF(ISNUMBER(I152),I152,IFERROR(VALUE(SUBSTITUTE(SUBSTITUTE(I152,"$",""),".","")),0)))</f>
        <v/>
      </c>
      <c r="N152" s="44" t="str">
        <f aca="false">IF(B152="","",PROPER(TRIM(D152)))</f>
        <v/>
      </c>
      <c r="O152" s="44" t="str">
        <f aca="false">IF(B152="","",IF(OR(ISNUMBER(SEARCH("AL DIA",L152)),ISNUMBER(SEARCH("AL DIA",F152))),"Al día",IF(OR(ISNUMBER(SEARCH("QUIETO",L152)),ISNUMBER(SEARCH("QUIETO",F152)),ISNUMBER(SEARCH("ESPERANDO",L152)),ISNUMBER(SEARCH("ESPERANDO",F152))),"Sin respuesta / Inactivo",IF(OR(ISNUMBER(SEARCH("PENDIENTE",L152)),ISNUMBER(SEARCH("PENDIENTE",F152)),ISNUMBER(SEARCH("COMPROMISO",F152)),ISNUMBER(SEARCH("COMPROMISO",L152)),ISNUMBER(SEARCH("PROCESO",F152)),ISNUMBER(SEARCH("LLAMAR",F152)),ISNUMBER(SEARCH("ABONO",J152)),EXACT(L152,"P"),EXACT(F152,"P")),"Pendiente / Compromiso","Sin gestionar"))))</f>
        <v/>
      </c>
      <c r="P152" s="44" t="str">
        <f aca="false">IF(B152="","",IF(E152="","Sin definir",IF(ISNUMBER(SEARCH("ITIL",E152)),"ITIL",IF(ISNUMBER(SEARCH("ISO 27001",E152)),"ISO 27001",IF(ISNUMBER(SEARCH("ISO 42001",E152)),"ISO 42001",IF(ISNUMBER(SEARCH("ISO",E152)),"Otras ISO",IF(ISNUMBER(SEARCH("SCRUM",E152)),"SCRUM",IF(ISNUMBER(SEARCH("BRIDGE",E152)),"BRIDGE",IF(ISNUMBER(SEARCH("CDS",E152)),"CDS",IF(ISNUMBER(SEARCH("TOGAF",E152)),"TOGAF",IF(ISNUMBER(SEARCH("DPI",E152)),"DPI",IF(ISNUMBER(SEARCH("DITS",E152)),"DITS",IF(ISNUMBER(SEARCH("AGILE",E152)),"AGILE",IF(ISNUMBER(SEARCH("Ciberseguridad",E152)),"Ciberseguridad","Otros"))))))))))))))</f>
        <v/>
      </c>
      <c r="Q152" s="44" t="str">
        <f aca="false">IF(B152="","",IF(ISNUMBER(K152),IF(K152&lt;=3,"1-3 meses",IF(K152&lt;=6,"4-6 meses","+6 meses")),"Sin dato registrado"))</f>
        <v/>
      </c>
      <c r="R152" s="44" t="str">
        <f aca="false">IF(OR(B152="",M152=""),"",RANK(M152,$M$3:$M$306)+COUNTIF($M$3:M152,M152)-1)</f>
        <v/>
      </c>
    </row>
    <row r="153" customFormat="false" ht="15" hidden="true" customHeight="true" outlineLevel="0" collapsed="false">
      <c r="A153" s="50" t="n">
        <v>22</v>
      </c>
      <c r="C153" s="54"/>
      <c r="M153" s="44" t="str">
        <f aca="false">IF(B153="","",IF(ISNUMBER(I153),I153,IFERROR(VALUE(SUBSTITUTE(SUBSTITUTE(I153,"$",""),".","")),0)))</f>
        <v/>
      </c>
      <c r="N153" s="44" t="str">
        <f aca="false">IF(B153="","",PROPER(TRIM(D153)))</f>
        <v/>
      </c>
      <c r="O153" s="44" t="str">
        <f aca="false">IF(B153="","",IF(OR(ISNUMBER(SEARCH("AL DIA",L153)),ISNUMBER(SEARCH("AL DIA",F153))),"Al día",IF(OR(ISNUMBER(SEARCH("QUIETO",L153)),ISNUMBER(SEARCH("QUIETO",F153)),ISNUMBER(SEARCH("ESPERANDO",L153)),ISNUMBER(SEARCH("ESPERANDO",F153))),"Sin respuesta / Inactivo",IF(OR(ISNUMBER(SEARCH("PENDIENTE",L153)),ISNUMBER(SEARCH("PENDIENTE",F153)),ISNUMBER(SEARCH("COMPROMISO",F153)),ISNUMBER(SEARCH("COMPROMISO",L153)),ISNUMBER(SEARCH("PROCESO",F153)),ISNUMBER(SEARCH("LLAMAR",F153)),ISNUMBER(SEARCH("ABONO",J153)),EXACT(L153,"P"),EXACT(F153,"P")),"Pendiente / Compromiso","Sin gestionar"))))</f>
        <v/>
      </c>
      <c r="P153" s="44" t="str">
        <f aca="false">IF(B153="","",IF(E153="","Sin definir",IF(ISNUMBER(SEARCH("ITIL",E153)),"ITIL",IF(ISNUMBER(SEARCH("ISO 27001",E153)),"ISO 27001",IF(ISNUMBER(SEARCH("ISO 42001",E153)),"ISO 42001",IF(ISNUMBER(SEARCH("ISO",E153)),"Otras ISO",IF(ISNUMBER(SEARCH("SCRUM",E153)),"SCRUM",IF(ISNUMBER(SEARCH("BRIDGE",E153)),"BRIDGE",IF(ISNUMBER(SEARCH("CDS",E153)),"CDS",IF(ISNUMBER(SEARCH("TOGAF",E153)),"TOGAF",IF(ISNUMBER(SEARCH("DPI",E153)),"DPI",IF(ISNUMBER(SEARCH("DITS",E153)),"DITS",IF(ISNUMBER(SEARCH("AGILE",E153)),"AGILE",IF(ISNUMBER(SEARCH("Ciberseguridad",E153)),"Ciberseguridad","Otros"))))))))))))))</f>
        <v/>
      </c>
      <c r="Q153" s="44" t="str">
        <f aca="false">IF(B153="","",IF(ISNUMBER(K153),IF(K153&lt;=3,"1-3 meses",IF(K153&lt;=6,"4-6 meses","+6 meses")),"Sin dato registrado"))</f>
        <v/>
      </c>
      <c r="R153" s="44" t="str">
        <f aca="false">IF(OR(B153="",M153=""),"",RANK(M153,$M$3:$M$306)+COUNTIF($M$3:M153,M153)-1)</f>
        <v/>
      </c>
    </row>
    <row r="154" customFormat="false" ht="15" hidden="true" customHeight="true" outlineLevel="0" collapsed="false">
      <c r="A154" s="49" t="n">
        <v>22</v>
      </c>
      <c r="C154" s="54"/>
      <c r="M154" s="44" t="str">
        <f aca="false">IF(B154="","",IF(ISNUMBER(I154),I154,IFERROR(VALUE(SUBSTITUTE(SUBSTITUTE(I154,"$",""),".","")),0)))</f>
        <v/>
      </c>
      <c r="N154" s="44" t="str">
        <f aca="false">IF(B154="","",PROPER(TRIM(D154)))</f>
        <v/>
      </c>
      <c r="O154" s="44" t="str">
        <f aca="false">IF(B154="","",IF(OR(ISNUMBER(SEARCH("AL DIA",L154)),ISNUMBER(SEARCH("AL DIA",F154))),"Al día",IF(OR(ISNUMBER(SEARCH("QUIETO",L154)),ISNUMBER(SEARCH("QUIETO",F154)),ISNUMBER(SEARCH("ESPERANDO",L154)),ISNUMBER(SEARCH("ESPERANDO",F154))),"Sin respuesta / Inactivo",IF(OR(ISNUMBER(SEARCH("PENDIENTE",L154)),ISNUMBER(SEARCH("PENDIENTE",F154)),ISNUMBER(SEARCH("COMPROMISO",F154)),ISNUMBER(SEARCH("COMPROMISO",L154)),ISNUMBER(SEARCH("PROCESO",F154)),ISNUMBER(SEARCH("LLAMAR",F154)),ISNUMBER(SEARCH("ABONO",J154)),EXACT(L154,"P"),EXACT(F154,"P")),"Pendiente / Compromiso","Sin gestionar"))))</f>
        <v/>
      </c>
      <c r="P154" s="44" t="str">
        <f aca="false">IF(B154="","",IF(E154="","Sin definir",IF(ISNUMBER(SEARCH("ITIL",E154)),"ITIL",IF(ISNUMBER(SEARCH("ISO 27001",E154)),"ISO 27001",IF(ISNUMBER(SEARCH("ISO 42001",E154)),"ISO 42001",IF(ISNUMBER(SEARCH("ISO",E154)),"Otras ISO",IF(ISNUMBER(SEARCH("SCRUM",E154)),"SCRUM",IF(ISNUMBER(SEARCH("BRIDGE",E154)),"BRIDGE",IF(ISNUMBER(SEARCH("CDS",E154)),"CDS",IF(ISNUMBER(SEARCH("TOGAF",E154)),"TOGAF",IF(ISNUMBER(SEARCH("DPI",E154)),"DPI",IF(ISNUMBER(SEARCH("DITS",E154)),"DITS",IF(ISNUMBER(SEARCH("AGILE",E154)),"AGILE",IF(ISNUMBER(SEARCH("Ciberseguridad",E154)),"Ciberseguridad","Otros"))))))))))))))</f>
        <v/>
      </c>
      <c r="Q154" s="44" t="str">
        <f aca="false">IF(B154="","",IF(ISNUMBER(K154),IF(K154&lt;=3,"1-3 meses",IF(K154&lt;=6,"4-6 meses","+6 meses")),"Sin dato registrado"))</f>
        <v/>
      </c>
      <c r="R154" s="44" t="str">
        <f aca="false">IF(OR(B154="",M154=""),"",RANK(M154,$M$3:$M$306)+COUNTIF($M$3:M154,M154)-1)</f>
        <v/>
      </c>
    </row>
    <row r="155" customFormat="false" ht="15" hidden="true" customHeight="true" outlineLevel="0" collapsed="false">
      <c r="A155" s="50" t="n">
        <v>22</v>
      </c>
      <c r="C155" s="54"/>
      <c r="M155" s="44" t="str">
        <f aca="false">IF(B155="","",IF(ISNUMBER(I155),I155,IFERROR(VALUE(SUBSTITUTE(SUBSTITUTE(I155,"$",""),".","")),0)))</f>
        <v/>
      </c>
      <c r="N155" s="44" t="str">
        <f aca="false">IF(B155="","",PROPER(TRIM(D155)))</f>
        <v/>
      </c>
      <c r="O155" s="44" t="str">
        <f aca="false">IF(B155="","",IF(OR(ISNUMBER(SEARCH("AL DIA",L155)),ISNUMBER(SEARCH("AL DIA",F155))),"Al día",IF(OR(ISNUMBER(SEARCH("QUIETO",L155)),ISNUMBER(SEARCH("QUIETO",F155)),ISNUMBER(SEARCH("ESPERANDO",L155)),ISNUMBER(SEARCH("ESPERANDO",F155))),"Sin respuesta / Inactivo",IF(OR(ISNUMBER(SEARCH("PENDIENTE",L155)),ISNUMBER(SEARCH("PENDIENTE",F155)),ISNUMBER(SEARCH("COMPROMISO",F155)),ISNUMBER(SEARCH("COMPROMISO",L155)),ISNUMBER(SEARCH("PROCESO",F155)),ISNUMBER(SEARCH("LLAMAR",F155)),ISNUMBER(SEARCH("ABONO",J155)),EXACT(L155,"P"),EXACT(F155,"P")),"Pendiente / Compromiso","Sin gestionar"))))</f>
        <v/>
      </c>
      <c r="P155" s="44" t="str">
        <f aca="false">IF(B155="","",IF(E155="","Sin definir",IF(ISNUMBER(SEARCH("ITIL",E155)),"ITIL",IF(ISNUMBER(SEARCH("ISO 27001",E155)),"ISO 27001",IF(ISNUMBER(SEARCH("ISO 42001",E155)),"ISO 42001",IF(ISNUMBER(SEARCH("ISO",E155)),"Otras ISO",IF(ISNUMBER(SEARCH("SCRUM",E155)),"SCRUM",IF(ISNUMBER(SEARCH("BRIDGE",E155)),"BRIDGE",IF(ISNUMBER(SEARCH("CDS",E155)),"CDS",IF(ISNUMBER(SEARCH("TOGAF",E155)),"TOGAF",IF(ISNUMBER(SEARCH("DPI",E155)),"DPI",IF(ISNUMBER(SEARCH("DITS",E155)),"DITS",IF(ISNUMBER(SEARCH("AGILE",E155)),"AGILE",IF(ISNUMBER(SEARCH("Ciberseguridad",E155)),"Ciberseguridad","Otros"))))))))))))))</f>
        <v/>
      </c>
      <c r="Q155" s="44" t="str">
        <f aca="false">IF(B155="","",IF(ISNUMBER(K155),IF(K155&lt;=3,"1-3 meses",IF(K155&lt;=6,"4-6 meses","+6 meses")),"Sin dato registrado"))</f>
        <v/>
      </c>
      <c r="R155" s="44" t="str">
        <f aca="false">IF(OR(B155="",M155=""),"",RANK(M155,$M$3:$M$306)+COUNTIF($M$3:M155,M155)-1)</f>
        <v/>
      </c>
    </row>
    <row r="156" customFormat="false" ht="15" hidden="true" customHeight="true" outlineLevel="0" collapsed="false">
      <c r="A156" s="49" t="n">
        <v>22</v>
      </c>
      <c r="C156" s="54"/>
      <c r="M156" s="44" t="str">
        <f aca="false">IF(B156="","",IF(ISNUMBER(I156),I156,IFERROR(VALUE(SUBSTITUTE(SUBSTITUTE(I156,"$",""),".","")),0)))</f>
        <v/>
      </c>
      <c r="N156" s="44" t="str">
        <f aca="false">IF(B156="","",PROPER(TRIM(D156)))</f>
        <v/>
      </c>
      <c r="O156" s="44" t="str">
        <f aca="false">IF(B156="","",IF(OR(ISNUMBER(SEARCH("AL DIA",L156)),ISNUMBER(SEARCH("AL DIA",F156))),"Al día",IF(OR(ISNUMBER(SEARCH("QUIETO",L156)),ISNUMBER(SEARCH("QUIETO",F156)),ISNUMBER(SEARCH("ESPERANDO",L156)),ISNUMBER(SEARCH("ESPERANDO",F156))),"Sin respuesta / Inactivo",IF(OR(ISNUMBER(SEARCH("PENDIENTE",L156)),ISNUMBER(SEARCH("PENDIENTE",F156)),ISNUMBER(SEARCH("COMPROMISO",F156)),ISNUMBER(SEARCH("COMPROMISO",L156)),ISNUMBER(SEARCH("PROCESO",F156)),ISNUMBER(SEARCH("LLAMAR",F156)),ISNUMBER(SEARCH("ABONO",J156)),EXACT(L156,"P"),EXACT(F156,"P")),"Pendiente / Compromiso","Sin gestionar"))))</f>
        <v/>
      </c>
      <c r="P156" s="44" t="str">
        <f aca="false">IF(B156="","",IF(E156="","Sin definir",IF(ISNUMBER(SEARCH("ITIL",E156)),"ITIL",IF(ISNUMBER(SEARCH("ISO 27001",E156)),"ISO 27001",IF(ISNUMBER(SEARCH("ISO 42001",E156)),"ISO 42001",IF(ISNUMBER(SEARCH("ISO",E156)),"Otras ISO",IF(ISNUMBER(SEARCH("SCRUM",E156)),"SCRUM",IF(ISNUMBER(SEARCH("BRIDGE",E156)),"BRIDGE",IF(ISNUMBER(SEARCH("CDS",E156)),"CDS",IF(ISNUMBER(SEARCH("TOGAF",E156)),"TOGAF",IF(ISNUMBER(SEARCH("DPI",E156)),"DPI",IF(ISNUMBER(SEARCH("DITS",E156)),"DITS",IF(ISNUMBER(SEARCH("AGILE",E156)),"AGILE",IF(ISNUMBER(SEARCH("Ciberseguridad",E156)),"Ciberseguridad","Otros"))))))))))))))</f>
        <v/>
      </c>
      <c r="Q156" s="44" t="str">
        <f aca="false">IF(B156="","",IF(ISNUMBER(K156),IF(K156&lt;=3,"1-3 meses",IF(K156&lt;=6,"4-6 meses","+6 meses")),"Sin dato registrado"))</f>
        <v/>
      </c>
      <c r="R156" s="44" t="str">
        <f aca="false">IF(OR(B156="",M156=""),"",RANK(M156,$M$3:$M$306)+COUNTIF($M$3:M156,M156)-1)</f>
        <v/>
      </c>
    </row>
    <row r="157" customFormat="false" ht="15" hidden="true" customHeight="true" outlineLevel="0" collapsed="false">
      <c r="A157" s="50" t="n">
        <v>22</v>
      </c>
      <c r="C157" s="54"/>
      <c r="M157" s="44" t="str">
        <f aca="false">IF(B157="","",IF(ISNUMBER(I157),I157,IFERROR(VALUE(SUBSTITUTE(SUBSTITUTE(I157,"$",""),".","")),0)))</f>
        <v/>
      </c>
      <c r="N157" s="44" t="str">
        <f aca="false">IF(B157="","",PROPER(TRIM(D157)))</f>
        <v/>
      </c>
      <c r="O157" s="44" t="str">
        <f aca="false">IF(B157="","",IF(OR(ISNUMBER(SEARCH("AL DIA",L157)),ISNUMBER(SEARCH("AL DIA",F157))),"Al día",IF(OR(ISNUMBER(SEARCH("QUIETO",L157)),ISNUMBER(SEARCH("QUIETO",F157)),ISNUMBER(SEARCH("ESPERANDO",L157)),ISNUMBER(SEARCH("ESPERANDO",F157))),"Sin respuesta / Inactivo",IF(OR(ISNUMBER(SEARCH("PENDIENTE",L157)),ISNUMBER(SEARCH("PENDIENTE",F157)),ISNUMBER(SEARCH("COMPROMISO",F157)),ISNUMBER(SEARCH("COMPROMISO",L157)),ISNUMBER(SEARCH("PROCESO",F157)),ISNUMBER(SEARCH("LLAMAR",F157)),ISNUMBER(SEARCH("ABONO",J157)),EXACT(L157,"P"),EXACT(F157,"P")),"Pendiente / Compromiso","Sin gestionar"))))</f>
        <v/>
      </c>
      <c r="P157" s="44" t="str">
        <f aca="false">IF(B157="","",IF(E157="","Sin definir",IF(ISNUMBER(SEARCH("ITIL",E157)),"ITIL",IF(ISNUMBER(SEARCH("ISO 27001",E157)),"ISO 27001",IF(ISNUMBER(SEARCH("ISO 42001",E157)),"ISO 42001",IF(ISNUMBER(SEARCH("ISO",E157)),"Otras ISO",IF(ISNUMBER(SEARCH("SCRUM",E157)),"SCRUM",IF(ISNUMBER(SEARCH("BRIDGE",E157)),"BRIDGE",IF(ISNUMBER(SEARCH("CDS",E157)),"CDS",IF(ISNUMBER(SEARCH("TOGAF",E157)),"TOGAF",IF(ISNUMBER(SEARCH("DPI",E157)),"DPI",IF(ISNUMBER(SEARCH("DITS",E157)),"DITS",IF(ISNUMBER(SEARCH("AGILE",E157)),"AGILE",IF(ISNUMBER(SEARCH("Ciberseguridad",E157)),"Ciberseguridad","Otros"))))))))))))))</f>
        <v/>
      </c>
      <c r="Q157" s="44" t="str">
        <f aca="false">IF(B157="","",IF(ISNUMBER(K157),IF(K157&lt;=3,"1-3 meses",IF(K157&lt;=6,"4-6 meses","+6 meses")),"Sin dato registrado"))</f>
        <v/>
      </c>
      <c r="R157" s="44" t="str">
        <f aca="false">IF(OR(B157="",M157=""),"",RANK(M157,$M$3:$M$306)+COUNTIF($M$3:M157,M157)-1)</f>
        <v/>
      </c>
    </row>
    <row r="158" customFormat="false" ht="15" hidden="true" customHeight="true" outlineLevel="0" collapsed="false">
      <c r="A158" s="49" t="n">
        <v>22</v>
      </c>
      <c r="C158" s="54"/>
      <c r="M158" s="44" t="str">
        <f aca="false">IF(B158="","",IF(ISNUMBER(I158),I158,IFERROR(VALUE(SUBSTITUTE(SUBSTITUTE(I158,"$",""),".","")),0)))</f>
        <v/>
      </c>
      <c r="N158" s="44" t="str">
        <f aca="false">IF(B158="","",PROPER(TRIM(D158)))</f>
        <v/>
      </c>
      <c r="O158" s="44" t="str">
        <f aca="false">IF(B158="","",IF(OR(ISNUMBER(SEARCH("AL DIA",L158)),ISNUMBER(SEARCH("AL DIA",F158))),"Al día",IF(OR(ISNUMBER(SEARCH("QUIETO",L158)),ISNUMBER(SEARCH("QUIETO",F158)),ISNUMBER(SEARCH("ESPERANDO",L158)),ISNUMBER(SEARCH("ESPERANDO",F158))),"Sin respuesta / Inactivo",IF(OR(ISNUMBER(SEARCH("PENDIENTE",L158)),ISNUMBER(SEARCH("PENDIENTE",F158)),ISNUMBER(SEARCH("COMPROMISO",F158)),ISNUMBER(SEARCH("COMPROMISO",L158)),ISNUMBER(SEARCH("PROCESO",F158)),ISNUMBER(SEARCH("LLAMAR",F158)),ISNUMBER(SEARCH("ABONO",J158)),EXACT(L158,"P"),EXACT(F158,"P")),"Pendiente / Compromiso","Sin gestionar"))))</f>
        <v/>
      </c>
      <c r="P158" s="44" t="str">
        <f aca="false">IF(B158="","",IF(E158="","Sin definir",IF(ISNUMBER(SEARCH("ITIL",E158)),"ITIL",IF(ISNUMBER(SEARCH("ISO 27001",E158)),"ISO 27001",IF(ISNUMBER(SEARCH("ISO 42001",E158)),"ISO 42001",IF(ISNUMBER(SEARCH("ISO",E158)),"Otras ISO",IF(ISNUMBER(SEARCH("SCRUM",E158)),"SCRUM",IF(ISNUMBER(SEARCH("BRIDGE",E158)),"BRIDGE",IF(ISNUMBER(SEARCH("CDS",E158)),"CDS",IF(ISNUMBER(SEARCH("TOGAF",E158)),"TOGAF",IF(ISNUMBER(SEARCH("DPI",E158)),"DPI",IF(ISNUMBER(SEARCH("DITS",E158)),"DITS",IF(ISNUMBER(SEARCH("AGILE",E158)),"AGILE",IF(ISNUMBER(SEARCH("Ciberseguridad",E158)),"Ciberseguridad","Otros"))))))))))))))</f>
        <v/>
      </c>
      <c r="Q158" s="44" t="str">
        <f aca="false">IF(B158="","",IF(ISNUMBER(K158),IF(K158&lt;=3,"1-3 meses",IF(K158&lt;=6,"4-6 meses","+6 meses")),"Sin dato registrado"))</f>
        <v/>
      </c>
      <c r="R158" s="44" t="str">
        <f aca="false">IF(OR(B158="",M158=""),"",RANK(M158,$M$3:$M$306)+COUNTIF($M$3:M158,M158)-1)</f>
        <v/>
      </c>
    </row>
    <row r="159" customFormat="false" ht="15" hidden="true" customHeight="true" outlineLevel="0" collapsed="false">
      <c r="A159" s="50" t="n">
        <v>22</v>
      </c>
      <c r="C159" s="54"/>
      <c r="M159" s="44" t="str">
        <f aca="false">IF(B159="","",IF(ISNUMBER(I159),I159,IFERROR(VALUE(SUBSTITUTE(SUBSTITUTE(I159,"$",""),".","")),0)))</f>
        <v/>
      </c>
      <c r="N159" s="44" t="str">
        <f aca="false">IF(B159="","",PROPER(TRIM(D159)))</f>
        <v/>
      </c>
      <c r="O159" s="44" t="str">
        <f aca="false">IF(B159="","",IF(OR(ISNUMBER(SEARCH("AL DIA",L159)),ISNUMBER(SEARCH("AL DIA",F159))),"Al día",IF(OR(ISNUMBER(SEARCH("QUIETO",L159)),ISNUMBER(SEARCH("QUIETO",F159)),ISNUMBER(SEARCH("ESPERANDO",L159)),ISNUMBER(SEARCH("ESPERANDO",F159))),"Sin respuesta / Inactivo",IF(OR(ISNUMBER(SEARCH("PENDIENTE",L159)),ISNUMBER(SEARCH("PENDIENTE",F159)),ISNUMBER(SEARCH("COMPROMISO",F159)),ISNUMBER(SEARCH("COMPROMISO",L159)),ISNUMBER(SEARCH("PROCESO",F159)),ISNUMBER(SEARCH("LLAMAR",F159)),ISNUMBER(SEARCH("ABONO",J159)),EXACT(L159,"P"),EXACT(F159,"P")),"Pendiente / Compromiso","Sin gestionar"))))</f>
        <v/>
      </c>
      <c r="P159" s="44" t="str">
        <f aca="false">IF(B159="","",IF(E159="","Sin definir",IF(ISNUMBER(SEARCH("ITIL",E159)),"ITIL",IF(ISNUMBER(SEARCH("ISO 27001",E159)),"ISO 27001",IF(ISNUMBER(SEARCH("ISO 42001",E159)),"ISO 42001",IF(ISNUMBER(SEARCH("ISO",E159)),"Otras ISO",IF(ISNUMBER(SEARCH("SCRUM",E159)),"SCRUM",IF(ISNUMBER(SEARCH("BRIDGE",E159)),"BRIDGE",IF(ISNUMBER(SEARCH("CDS",E159)),"CDS",IF(ISNUMBER(SEARCH("TOGAF",E159)),"TOGAF",IF(ISNUMBER(SEARCH("DPI",E159)),"DPI",IF(ISNUMBER(SEARCH("DITS",E159)),"DITS",IF(ISNUMBER(SEARCH("AGILE",E159)),"AGILE",IF(ISNUMBER(SEARCH("Ciberseguridad",E159)),"Ciberseguridad","Otros"))))))))))))))</f>
        <v/>
      </c>
      <c r="Q159" s="44" t="str">
        <f aca="false">IF(B159="","",IF(ISNUMBER(K159),IF(K159&lt;=3,"1-3 meses",IF(K159&lt;=6,"4-6 meses","+6 meses")),"Sin dato registrado"))</f>
        <v/>
      </c>
      <c r="R159" s="44" t="str">
        <f aca="false">IF(OR(B159="",M159=""),"",RANK(M159,$M$3:$M$306)+COUNTIF($M$3:M159,M159)-1)</f>
        <v/>
      </c>
    </row>
    <row r="160" customFormat="false" ht="15" hidden="true" customHeight="true" outlineLevel="0" collapsed="false">
      <c r="A160" s="49" t="n">
        <v>22</v>
      </c>
      <c r="C160" s="54"/>
      <c r="M160" s="44" t="str">
        <f aca="false">IF(B160="","",IF(ISNUMBER(I160),I160,IFERROR(VALUE(SUBSTITUTE(SUBSTITUTE(I160,"$",""),".","")),0)))</f>
        <v/>
      </c>
      <c r="N160" s="44" t="str">
        <f aca="false">IF(B160="","",PROPER(TRIM(D160)))</f>
        <v/>
      </c>
      <c r="O160" s="44" t="str">
        <f aca="false">IF(B160="","",IF(OR(ISNUMBER(SEARCH("AL DIA",L160)),ISNUMBER(SEARCH("AL DIA",F160))),"Al día",IF(OR(ISNUMBER(SEARCH("QUIETO",L160)),ISNUMBER(SEARCH("QUIETO",F160)),ISNUMBER(SEARCH("ESPERANDO",L160)),ISNUMBER(SEARCH("ESPERANDO",F160))),"Sin respuesta / Inactivo",IF(OR(ISNUMBER(SEARCH("PENDIENTE",L160)),ISNUMBER(SEARCH("PENDIENTE",F160)),ISNUMBER(SEARCH("COMPROMISO",F160)),ISNUMBER(SEARCH("COMPROMISO",L160)),ISNUMBER(SEARCH("PROCESO",F160)),ISNUMBER(SEARCH("LLAMAR",F160)),ISNUMBER(SEARCH("ABONO",J160)),EXACT(L160,"P"),EXACT(F160,"P")),"Pendiente / Compromiso","Sin gestionar"))))</f>
        <v/>
      </c>
      <c r="P160" s="44" t="str">
        <f aca="false">IF(B160="","",IF(E160="","Sin definir",IF(ISNUMBER(SEARCH("ITIL",E160)),"ITIL",IF(ISNUMBER(SEARCH("ISO 27001",E160)),"ISO 27001",IF(ISNUMBER(SEARCH("ISO 42001",E160)),"ISO 42001",IF(ISNUMBER(SEARCH("ISO",E160)),"Otras ISO",IF(ISNUMBER(SEARCH("SCRUM",E160)),"SCRUM",IF(ISNUMBER(SEARCH("BRIDGE",E160)),"BRIDGE",IF(ISNUMBER(SEARCH("CDS",E160)),"CDS",IF(ISNUMBER(SEARCH("TOGAF",E160)),"TOGAF",IF(ISNUMBER(SEARCH("DPI",E160)),"DPI",IF(ISNUMBER(SEARCH("DITS",E160)),"DITS",IF(ISNUMBER(SEARCH("AGILE",E160)),"AGILE",IF(ISNUMBER(SEARCH("Ciberseguridad",E160)),"Ciberseguridad","Otros"))))))))))))))</f>
        <v/>
      </c>
      <c r="Q160" s="44" t="str">
        <f aca="false">IF(B160="","",IF(ISNUMBER(K160),IF(K160&lt;=3,"1-3 meses",IF(K160&lt;=6,"4-6 meses","+6 meses")),"Sin dato registrado"))</f>
        <v/>
      </c>
      <c r="R160" s="44" t="str">
        <f aca="false">IF(OR(B160="",M160=""),"",RANK(M160,$M$3:$M$306)+COUNTIF($M$3:M160,M160)-1)</f>
        <v/>
      </c>
    </row>
    <row r="161" customFormat="false" ht="15" hidden="true" customHeight="true" outlineLevel="0" collapsed="false">
      <c r="A161" s="50" t="n">
        <v>22</v>
      </c>
      <c r="C161" s="54"/>
      <c r="M161" s="44" t="str">
        <f aca="false">IF(B161="","",IF(ISNUMBER(I161),I161,IFERROR(VALUE(SUBSTITUTE(SUBSTITUTE(I161,"$",""),".","")),0)))</f>
        <v/>
      </c>
      <c r="N161" s="44" t="str">
        <f aca="false">IF(B161="","",PROPER(TRIM(D161)))</f>
        <v/>
      </c>
      <c r="O161" s="44" t="str">
        <f aca="false">IF(B161="","",IF(OR(ISNUMBER(SEARCH("AL DIA",L161)),ISNUMBER(SEARCH("AL DIA",F161))),"Al día",IF(OR(ISNUMBER(SEARCH("QUIETO",L161)),ISNUMBER(SEARCH("QUIETO",F161)),ISNUMBER(SEARCH("ESPERANDO",L161)),ISNUMBER(SEARCH("ESPERANDO",F161))),"Sin respuesta / Inactivo",IF(OR(ISNUMBER(SEARCH("PENDIENTE",L161)),ISNUMBER(SEARCH("PENDIENTE",F161)),ISNUMBER(SEARCH("COMPROMISO",F161)),ISNUMBER(SEARCH("COMPROMISO",L161)),ISNUMBER(SEARCH("PROCESO",F161)),ISNUMBER(SEARCH("LLAMAR",F161)),ISNUMBER(SEARCH("ABONO",J161)),EXACT(L161,"P"),EXACT(F161,"P")),"Pendiente / Compromiso","Sin gestionar"))))</f>
        <v/>
      </c>
      <c r="P161" s="44" t="str">
        <f aca="false">IF(B161="","",IF(E161="","Sin definir",IF(ISNUMBER(SEARCH("ITIL",E161)),"ITIL",IF(ISNUMBER(SEARCH("ISO 27001",E161)),"ISO 27001",IF(ISNUMBER(SEARCH("ISO 42001",E161)),"ISO 42001",IF(ISNUMBER(SEARCH("ISO",E161)),"Otras ISO",IF(ISNUMBER(SEARCH("SCRUM",E161)),"SCRUM",IF(ISNUMBER(SEARCH("BRIDGE",E161)),"BRIDGE",IF(ISNUMBER(SEARCH("CDS",E161)),"CDS",IF(ISNUMBER(SEARCH("TOGAF",E161)),"TOGAF",IF(ISNUMBER(SEARCH("DPI",E161)),"DPI",IF(ISNUMBER(SEARCH("DITS",E161)),"DITS",IF(ISNUMBER(SEARCH("AGILE",E161)),"AGILE",IF(ISNUMBER(SEARCH("Ciberseguridad",E161)),"Ciberseguridad","Otros"))))))))))))))</f>
        <v/>
      </c>
      <c r="Q161" s="44" t="str">
        <f aca="false">IF(B161="","",IF(ISNUMBER(K161),IF(K161&lt;=3,"1-3 meses",IF(K161&lt;=6,"4-6 meses","+6 meses")),"Sin dato registrado"))</f>
        <v/>
      </c>
      <c r="R161" s="44" t="str">
        <f aca="false">IF(OR(B161="",M161=""),"",RANK(M161,$M$3:$M$306)+COUNTIF($M$3:M161,M161)-1)</f>
        <v/>
      </c>
    </row>
    <row r="162" customFormat="false" ht="15" hidden="true" customHeight="true" outlineLevel="0" collapsed="false">
      <c r="A162" s="49" t="n">
        <v>22</v>
      </c>
      <c r="C162" s="54"/>
      <c r="M162" s="44" t="str">
        <f aca="false">IF(B162="","",IF(ISNUMBER(I162),I162,IFERROR(VALUE(SUBSTITUTE(SUBSTITUTE(I162,"$",""),".","")),0)))</f>
        <v/>
      </c>
      <c r="N162" s="44" t="str">
        <f aca="false">IF(B162="","",PROPER(TRIM(D162)))</f>
        <v/>
      </c>
      <c r="O162" s="44" t="str">
        <f aca="false">IF(B162="","",IF(OR(ISNUMBER(SEARCH("AL DIA",L162)),ISNUMBER(SEARCH("AL DIA",F162))),"Al día",IF(OR(ISNUMBER(SEARCH("QUIETO",L162)),ISNUMBER(SEARCH("QUIETO",F162)),ISNUMBER(SEARCH("ESPERANDO",L162)),ISNUMBER(SEARCH("ESPERANDO",F162))),"Sin respuesta / Inactivo",IF(OR(ISNUMBER(SEARCH("PENDIENTE",L162)),ISNUMBER(SEARCH("PENDIENTE",F162)),ISNUMBER(SEARCH("COMPROMISO",F162)),ISNUMBER(SEARCH("COMPROMISO",L162)),ISNUMBER(SEARCH("PROCESO",F162)),ISNUMBER(SEARCH("LLAMAR",F162)),ISNUMBER(SEARCH("ABONO",J162)),EXACT(L162,"P"),EXACT(F162,"P")),"Pendiente / Compromiso","Sin gestionar"))))</f>
        <v/>
      </c>
      <c r="P162" s="44" t="str">
        <f aca="false">IF(B162="","",IF(E162="","Sin definir",IF(ISNUMBER(SEARCH("ITIL",E162)),"ITIL",IF(ISNUMBER(SEARCH("ISO 27001",E162)),"ISO 27001",IF(ISNUMBER(SEARCH("ISO 42001",E162)),"ISO 42001",IF(ISNUMBER(SEARCH("ISO",E162)),"Otras ISO",IF(ISNUMBER(SEARCH("SCRUM",E162)),"SCRUM",IF(ISNUMBER(SEARCH("BRIDGE",E162)),"BRIDGE",IF(ISNUMBER(SEARCH("CDS",E162)),"CDS",IF(ISNUMBER(SEARCH("TOGAF",E162)),"TOGAF",IF(ISNUMBER(SEARCH("DPI",E162)),"DPI",IF(ISNUMBER(SEARCH("DITS",E162)),"DITS",IF(ISNUMBER(SEARCH("AGILE",E162)),"AGILE",IF(ISNUMBER(SEARCH("Ciberseguridad",E162)),"Ciberseguridad","Otros"))))))))))))))</f>
        <v/>
      </c>
      <c r="Q162" s="44" t="str">
        <f aca="false">IF(B162="","",IF(ISNUMBER(K162),IF(K162&lt;=3,"1-3 meses",IF(K162&lt;=6,"4-6 meses","+6 meses")),"Sin dato registrado"))</f>
        <v/>
      </c>
      <c r="R162" s="44" t="str">
        <f aca="false">IF(OR(B162="",M162=""),"",RANK(M162,$M$3:$M$306)+COUNTIF($M$3:M162,M162)-1)</f>
        <v/>
      </c>
    </row>
    <row r="163" customFormat="false" ht="15" hidden="true" customHeight="true" outlineLevel="0" collapsed="false">
      <c r="A163" s="50" t="n">
        <v>22</v>
      </c>
      <c r="C163" s="54"/>
      <c r="M163" s="44" t="str">
        <f aca="false">IF(B163="","",IF(ISNUMBER(I163),I163,IFERROR(VALUE(SUBSTITUTE(SUBSTITUTE(I163,"$",""),".","")),0)))</f>
        <v/>
      </c>
      <c r="N163" s="44" t="str">
        <f aca="false">IF(B163="","",PROPER(TRIM(D163)))</f>
        <v/>
      </c>
      <c r="O163" s="44" t="str">
        <f aca="false">IF(B163="","",IF(OR(ISNUMBER(SEARCH("AL DIA",L163)),ISNUMBER(SEARCH("AL DIA",F163))),"Al día",IF(OR(ISNUMBER(SEARCH("QUIETO",L163)),ISNUMBER(SEARCH("QUIETO",F163)),ISNUMBER(SEARCH("ESPERANDO",L163)),ISNUMBER(SEARCH("ESPERANDO",F163))),"Sin respuesta / Inactivo",IF(OR(ISNUMBER(SEARCH("PENDIENTE",L163)),ISNUMBER(SEARCH("PENDIENTE",F163)),ISNUMBER(SEARCH("COMPROMISO",F163)),ISNUMBER(SEARCH("COMPROMISO",L163)),ISNUMBER(SEARCH("PROCESO",F163)),ISNUMBER(SEARCH("LLAMAR",F163)),ISNUMBER(SEARCH("ABONO",J163)),EXACT(L163,"P"),EXACT(F163,"P")),"Pendiente / Compromiso","Sin gestionar"))))</f>
        <v/>
      </c>
      <c r="P163" s="44" t="str">
        <f aca="false">IF(B163="","",IF(E163="","Sin definir",IF(ISNUMBER(SEARCH("ITIL",E163)),"ITIL",IF(ISNUMBER(SEARCH("ISO 27001",E163)),"ISO 27001",IF(ISNUMBER(SEARCH("ISO 42001",E163)),"ISO 42001",IF(ISNUMBER(SEARCH("ISO",E163)),"Otras ISO",IF(ISNUMBER(SEARCH("SCRUM",E163)),"SCRUM",IF(ISNUMBER(SEARCH("BRIDGE",E163)),"BRIDGE",IF(ISNUMBER(SEARCH("CDS",E163)),"CDS",IF(ISNUMBER(SEARCH("TOGAF",E163)),"TOGAF",IF(ISNUMBER(SEARCH("DPI",E163)),"DPI",IF(ISNUMBER(SEARCH("DITS",E163)),"DITS",IF(ISNUMBER(SEARCH("AGILE",E163)),"AGILE",IF(ISNUMBER(SEARCH("Ciberseguridad",E163)),"Ciberseguridad","Otros"))))))))))))))</f>
        <v/>
      </c>
      <c r="Q163" s="44" t="str">
        <f aca="false">IF(B163="","",IF(ISNUMBER(K163),IF(K163&lt;=3,"1-3 meses",IF(K163&lt;=6,"4-6 meses","+6 meses")),"Sin dato registrado"))</f>
        <v/>
      </c>
      <c r="R163" s="44" t="str">
        <f aca="false">IF(OR(B163="",M163=""),"",RANK(M163,$M$3:$M$306)+COUNTIF($M$3:M163,M163)-1)</f>
        <v/>
      </c>
    </row>
    <row r="164" customFormat="false" ht="15" hidden="true" customHeight="true" outlineLevel="0" collapsed="false">
      <c r="A164" s="49" t="n">
        <v>22</v>
      </c>
      <c r="C164" s="54"/>
      <c r="M164" s="44" t="str">
        <f aca="false">IF(B164="","",IF(ISNUMBER(I164),I164,IFERROR(VALUE(SUBSTITUTE(SUBSTITUTE(I164,"$",""),".","")),0)))</f>
        <v/>
      </c>
      <c r="N164" s="44" t="str">
        <f aca="false">IF(B164="","",PROPER(TRIM(D164)))</f>
        <v/>
      </c>
      <c r="O164" s="44" t="str">
        <f aca="false">IF(B164="","",IF(OR(ISNUMBER(SEARCH("AL DIA",L164)),ISNUMBER(SEARCH("AL DIA",F164))),"Al día",IF(OR(ISNUMBER(SEARCH("QUIETO",L164)),ISNUMBER(SEARCH("QUIETO",F164)),ISNUMBER(SEARCH("ESPERANDO",L164)),ISNUMBER(SEARCH("ESPERANDO",F164))),"Sin respuesta / Inactivo",IF(OR(ISNUMBER(SEARCH("PENDIENTE",L164)),ISNUMBER(SEARCH("PENDIENTE",F164)),ISNUMBER(SEARCH("COMPROMISO",F164)),ISNUMBER(SEARCH("COMPROMISO",L164)),ISNUMBER(SEARCH("PROCESO",F164)),ISNUMBER(SEARCH("LLAMAR",F164)),ISNUMBER(SEARCH("ABONO",J164)),EXACT(L164,"P"),EXACT(F164,"P")),"Pendiente / Compromiso","Sin gestionar"))))</f>
        <v/>
      </c>
      <c r="P164" s="44" t="str">
        <f aca="false">IF(B164="","",IF(E164="","Sin definir",IF(ISNUMBER(SEARCH("ITIL",E164)),"ITIL",IF(ISNUMBER(SEARCH("ISO 27001",E164)),"ISO 27001",IF(ISNUMBER(SEARCH("ISO 42001",E164)),"ISO 42001",IF(ISNUMBER(SEARCH("ISO",E164)),"Otras ISO",IF(ISNUMBER(SEARCH("SCRUM",E164)),"SCRUM",IF(ISNUMBER(SEARCH("BRIDGE",E164)),"BRIDGE",IF(ISNUMBER(SEARCH("CDS",E164)),"CDS",IF(ISNUMBER(SEARCH("TOGAF",E164)),"TOGAF",IF(ISNUMBER(SEARCH("DPI",E164)),"DPI",IF(ISNUMBER(SEARCH("DITS",E164)),"DITS",IF(ISNUMBER(SEARCH("AGILE",E164)),"AGILE",IF(ISNUMBER(SEARCH("Ciberseguridad",E164)),"Ciberseguridad","Otros"))))))))))))))</f>
        <v/>
      </c>
      <c r="Q164" s="44" t="str">
        <f aca="false">IF(B164="","",IF(ISNUMBER(K164),IF(K164&lt;=3,"1-3 meses",IF(K164&lt;=6,"4-6 meses","+6 meses")),"Sin dato registrado"))</f>
        <v/>
      </c>
      <c r="R164" s="44" t="str">
        <f aca="false">IF(OR(B164="",M164=""),"",RANK(M164,$M$3:$M$306)+COUNTIF($M$3:M164,M164)-1)</f>
        <v/>
      </c>
    </row>
    <row r="165" customFormat="false" ht="15" hidden="true" customHeight="true" outlineLevel="0" collapsed="false">
      <c r="A165" s="50" t="n">
        <v>22</v>
      </c>
      <c r="C165" s="54"/>
      <c r="M165" s="44" t="str">
        <f aca="false">IF(B165="","",IF(ISNUMBER(I165),I165,IFERROR(VALUE(SUBSTITUTE(SUBSTITUTE(I165,"$",""),".","")),0)))</f>
        <v/>
      </c>
      <c r="N165" s="44" t="str">
        <f aca="false">IF(B165="","",PROPER(TRIM(D165)))</f>
        <v/>
      </c>
      <c r="O165" s="44" t="str">
        <f aca="false">IF(B165="","",IF(OR(ISNUMBER(SEARCH("AL DIA",L165)),ISNUMBER(SEARCH("AL DIA",F165))),"Al día",IF(OR(ISNUMBER(SEARCH("QUIETO",L165)),ISNUMBER(SEARCH("QUIETO",F165)),ISNUMBER(SEARCH("ESPERANDO",L165)),ISNUMBER(SEARCH("ESPERANDO",F165))),"Sin respuesta / Inactivo",IF(OR(ISNUMBER(SEARCH("PENDIENTE",L165)),ISNUMBER(SEARCH("PENDIENTE",F165)),ISNUMBER(SEARCH("COMPROMISO",F165)),ISNUMBER(SEARCH("COMPROMISO",L165)),ISNUMBER(SEARCH("PROCESO",F165)),ISNUMBER(SEARCH("LLAMAR",F165)),ISNUMBER(SEARCH("ABONO",J165)),EXACT(L165,"P"),EXACT(F165,"P")),"Pendiente / Compromiso","Sin gestionar"))))</f>
        <v/>
      </c>
      <c r="P165" s="44" t="str">
        <f aca="false">IF(B165="","",IF(E165="","Sin definir",IF(ISNUMBER(SEARCH("ITIL",E165)),"ITIL",IF(ISNUMBER(SEARCH("ISO 27001",E165)),"ISO 27001",IF(ISNUMBER(SEARCH("ISO 42001",E165)),"ISO 42001",IF(ISNUMBER(SEARCH("ISO",E165)),"Otras ISO",IF(ISNUMBER(SEARCH("SCRUM",E165)),"SCRUM",IF(ISNUMBER(SEARCH("BRIDGE",E165)),"BRIDGE",IF(ISNUMBER(SEARCH("CDS",E165)),"CDS",IF(ISNUMBER(SEARCH("TOGAF",E165)),"TOGAF",IF(ISNUMBER(SEARCH("DPI",E165)),"DPI",IF(ISNUMBER(SEARCH("DITS",E165)),"DITS",IF(ISNUMBER(SEARCH("AGILE",E165)),"AGILE",IF(ISNUMBER(SEARCH("Ciberseguridad",E165)),"Ciberseguridad","Otros"))))))))))))))</f>
        <v/>
      </c>
      <c r="Q165" s="44" t="str">
        <f aca="false">IF(B165="","",IF(ISNUMBER(K165),IF(K165&lt;=3,"1-3 meses",IF(K165&lt;=6,"4-6 meses","+6 meses")),"Sin dato registrado"))</f>
        <v/>
      </c>
      <c r="R165" s="44" t="str">
        <f aca="false">IF(OR(B165="",M165=""),"",RANK(M165,$M$3:$M$306)+COUNTIF($M$3:M165,M165)-1)</f>
        <v/>
      </c>
    </row>
    <row r="166" customFormat="false" ht="15" hidden="true" customHeight="true" outlineLevel="0" collapsed="false">
      <c r="A166" s="49" t="n">
        <v>22</v>
      </c>
      <c r="C166" s="54"/>
      <c r="M166" s="44" t="str">
        <f aca="false">IF(B166="","",IF(ISNUMBER(I166),I166,IFERROR(VALUE(SUBSTITUTE(SUBSTITUTE(I166,"$",""),".","")),0)))</f>
        <v/>
      </c>
      <c r="N166" s="44" t="str">
        <f aca="false">IF(B166="","",PROPER(TRIM(D166)))</f>
        <v/>
      </c>
      <c r="O166" s="44" t="str">
        <f aca="false">IF(B166="","",IF(OR(ISNUMBER(SEARCH("AL DIA",L166)),ISNUMBER(SEARCH("AL DIA",F166))),"Al día",IF(OR(ISNUMBER(SEARCH("QUIETO",L166)),ISNUMBER(SEARCH("QUIETO",F166)),ISNUMBER(SEARCH("ESPERANDO",L166)),ISNUMBER(SEARCH("ESPERANDO",F166))),"Sin respuesta / Inactivo",IF(OR(ISNUMBER(SEARCH("PENDIENTE",L166)),ISNUMBER(SEARCH("PENDIENTE",F166)),ISNUMBER(SEARCH("COMPROMISO",F166)),ISNUMBER(SEARCH("COMPROMISO",L166)),ISNUMBER(SEARCH("PROCESO",F166)),ISNUMBER(SEARCH("LLAMAR",F166)),ISNUMBER(SEARCH("ABONO",J166)),EXACT(L166,"P"),EXACT(F166,"P")),"Pendiente / Compromiso","Sin gestionar"))))</f>
        <v/>
      </c>
      <c r="P166" s="44" t="str">
        <f aca="false">IF(B166="","",IF(E166="","Sin definir",IF(ISNUMBER(SEARCH("ITIL",E166)),"ITIL",IF(ISNUMBER(SEARCH("ISO 27001",E166)),"ISO 27001",IF(ISNUMBER(SEARCH("ISO 42001",E166)),"ISO 42001",IF(ISNUMBER(SEARCH("ISO",E166)),"Otras ISO",IF(ISNUMBER(SEARCH("SCRUM",E166)),"SCRUM",IF(ISNUMBER(SEARCH("BRIDGE",E166)),"BRIDGE",IF(ISNUMBER(SEARCH("CDS",E166)),"CDS",IF(ISNUMBER(SEARCH("TOGAF",E166)),"TOGAF",IF(ISNUMBER(SEARCH("DPI",E166)),"DPI",IF(ISNUMBER(SEARCH("DITS",E166)),"DITS",IF(ISNUMBER(SEARCH("AGILE",E166)),"AGILE",IF(ISNUMBER(SEARCH("Ciberseguridad",E166)),"Ciberseguridad","Otros"))))))))))))))</f>
        <v/>
      </c>
      <c r="Q166" s="44" t="str">
        <f aca="false">IF(B166="","",IF(ISNUMBER(K166),IF(K166&lt;=3,"1-3 meses",IF(K166&lt;=6,"4-6 meses","+6 meses")),"Sin dato registrado"))</f>
        <v/>
      </c>
      <c r="R166" s="44" t="str">
        <f aca="false">IF(OR(B166="",M166=""),"",RANK(M166,$M$3:$M$306)+COUNTIF($M$3:M166,M166)-1)</f>
        <v/>
      </c>
    </row>
    <row r="167" customFormat="false" ht="15" hidden="true" customHeight="true" outlineLevel="0" collapsed="false">
      <c r="A167" s="50" t="n">
        <v>22</v>
      </c>
      <c r="C167" s="54"/>
      <c r="M167" s="44" t="str">
        <f aca="false">IF(B167="","",IF(ISNUMBER(I167),I167,IFERROR(VALUE(SUBSTITUTE(SUBSTITUTE(I167,"$",""),".","")),0)))</f>
        <v/>
      </c>
      <c r="N167" s="44" t="str">
        <f aca="false">IF(B167="","",PROPER(TRIM(D167)))</f>
        <v/>
      </c>
      <c r="O167" s="44" t="str">
        <f aca="false">IF(B167="","",IF(OR(ISNUMBER(SEARCH("AL DIA",L167)),ISNUMBER(SEARCH("AL DIA",F167))),"Al día",IF(OR(ISNUMBER(SEARCH("QUIETO",L167)),ISNUMBER(SEARCH("QUIETO",F167)),ISNUMBER(SEARCH("ESPERANDO",L167)),ISNUMBER(SEARCH("ESPERANDO",F167))),"Sin respuesta / Inactivo",IF(OR(ISNUMBER(SEARCH("PENDIENTE",L167)),ISNUMBER(SEARCH("PENDIENTE",F167)),ISNUMBER(SEARCH("COMPROMISO",F167)),ISNUMBER(SEARCH("COMPROMISO",L167)),ISNUMBER(SEARCH("PROCESO",F167)),ISNUMBER(SEARCH("LLAMAR",F167)),ISNUMBER(SEARCH("ABONO",J167)),EXACT(L167,"P"),EXACT(F167,"P")),"Pendiente / Compromiso","Sin gestionar"))))</f>
        <v/>
      </c>
      <c r="P167" s="44" t="str">
        <f aca="false">IF(B167="","",IF(E167="","Sin definir",IF(ISNUMBER(SEARCH("ITIL",E167)),"ITIL",IF(ISNUMBER(SEARCH("ISO 27001",E167)),"ISO 27001",IF(ISNUMBER(SEARCH("ISO 42001",E167)),"ISO 42001",IF(ISNUMBER(SEARCH("ISO",E167)),"Otras ISO",IF(ISNUMBER(SEARCH("SCRUM",E167)),"SCRUM",IF(ISNUMBER(SEARCH("BRIDGE",E167)),"BRIDGE",IF(ISNUMBER(SEARCH("CDS",E167)),"CDS",IF(ISNUMBER(SEARCH("TOGAF",E167)),"TOGAF",IF(ISNUMBER(SEARCH("DPI",E167)),"DPI",IF(ISNUMBER(SEARCH("DITS",E167)),"DITS",IF(ISNUMBER(SEARCH("AGILE",E167)),"AGILE",IF(ISNUMBER(SEARCH("Ciberseguridad",E167)),"Ciberseguridad","Otros"))))))))))))))</f>
        <v/>
      </c>
      <c r="Q167" s="44" t="str">
        <f aca="false">IF(B167="","",IF(ISNUMBER(K167),IF(K167&lt;=3,"1-3 meses",IF(K167&lt;=6,"4-6 meses","+6 meses")),"Sin dato registrado"))</f>
        <v/>
      </c>
      <c r="R167" s="44" t="str">
        <f aca="false">IF(OR(B167="",M167=""),"",RANK(M167,$M$3:$M$306)+COUNTIF($M$3:M167,M167)-1)</f>
        <v/>
      </c>
    </row>
    <row r="168" customFormat="false" ht="15" hidden="true" customHeight="true" outlineLevel="0" collapsed="false">
      <c r="A168" s="49" t="n">
        <v>22</v>
      </c>
      <c r="C168" s="54"/>
      <c r="M168" s="44" t="str">
        <f aca="false">IF(B168="","",IF(ISNUMBER(I168),I168,IFERROR(VALUE(SUBSTITUTE(SUBSTITUTE(I168,"$",""),".","")),0)))</f>
        <v/>
      </c>
      <c r="N168" s="44" t="str">
        <f aca="false">IF(B168="","",PROPER(TRIM(D168)))</f>
        <v/>
      </c>
      <c r="O168" s="44" t="str">
        <f aca="false">IF(B168="","",IF(OR(ISNUMBER(SEARCH("AL DIA",L168)),ISNUMBER(SEARCH("AL DIA",F168))),"Al día",IF(OR(ISNUMBER(SEARCH("QUIETO",L168)),ISNUMBER(SEARCH("QUIETO",F168)),ISNUMBER(SEARCH("ESPERANDO",L168)),ISNUMBER(SEARCH("ESPERANDO",F168))),"Sin respuesta / Inactivo",IF(OR(ISNUMBER(SEARCH("PENDIENTE",L168)),ISNUMBER(SEARCH("PENDIENTE",F168)),ISNUMBER(SEARCH("COMPROMISO",F168)),ISNUMBER(SEARCH("COMPROMISO",L168)),ISNUMBER(SEARCH("PROCESO",F168)),ISNUMBER(SEARCH("LLAMAR",F168)),ISNUMBER(SEARCH("ABONO",J168)),EXACT(L168,"P"),EXACT(F168,"P")),"Pendiente / Compromiso","Sin gestionar"))))</f>
        <v/>
      </c>
      <c r="P168" s="44" t="str">
        <f aca="false">IF(B168="","",IF(E168="","Sin definir",IF(ISNUMBER(SEARCH("ITIL",E168)),"ITIL",IF(ISNUMBER(SEARCH("ISO 27001",E168)),"ISO 27001",IF(ISNUMBER(SEARCH("ISO 42001",E168)),"ISO 42001",IF(ISNUMBER(SEARCH("ISO",E168)),"Otras ISO",IF(ISNUMBER(SEARCH("SCRUM",E168)),"SCRUM",IF(ISNUMBER(SEARCH("BRIDGE",E168)),"BRIDGE",IF(ISNUMBER(SEARCH("CDS",E168)),"CDS",IF(ISNUMBER(SEARCH("TOGAF",E168)),"TOGAF",IF(ISNUMBER(SEARCH("DPI",E168)),"DPI",IF(ISNUMBER(SEARCH("DITS",E168)),"DITS",IF(ISNUMBER(SEARCH("AGILE",E168)),"AGILE",IF(ISNUMBER(SEARCH("Ciberseguridad",E168)),"Ciberseguridad","Otros"))))))))))))))</f>
        <v/>
      </c>
      <c r="Q168" s="44" t="str">
        <f aca="false">IF(B168="","",IF(ISNUMBER(K168),IF(K168&lt;=3,"1-3 meses",IF(K168&lt;=6,"4-6 meses","+6 meses")),"Sin dato registrado"))</f>
        <v/>
      </c>
      <c r="R168" s="44" t="str">
        <f aca="false">IF(OR(B168="",M168=""),"",RANK(M168,$M$3:$M$306)+COUNTIF($M$3:M168,M168)-1)</f>
        <v/>
      </c>
    </row>
    <row r="169" customFormat="false" ht="15" hidden="true" customHeight="true" outlineLevel="0" collapsed="false">
      <c r="A169" s="50" t="n">
        <v>22</v>
      </c>
      <c r="C169" s="54"/>
      <c r="M169" s="44" t="str">
        <f aca="false">IF(B169="","",IF(ISNUMBER(I169),I169,IFERROR(VALUE(SUBSTITUTE(SUBSTITUTE(I169,"$",""),".","")),0)))</f>
        <v/>
      </c>
      <c r="N169" s="44" t="str">
        <f aca="false">IF(B169="","",PROPER(TRIM(D169)))</f>
        <v/>
      </c>
      <c r="O169" s="44" t="str">
        <f aca="false">IF(B169="","",IF(OR(ISNUMBER(SEARCH("AL DIA",L169)),ISNUMBER(SEARCH("AL DIA",F169))),"Al día",IF(OR(ISNUMBER(SEARCH("QUIETO",L169)),ISNUMBER(SEARCH("QUIETO",F169)),ISNUMBER(SEARCH("ESPERANDO",L169)),ISNUMBER(SEARCH("ESPERANDO",F169))),"Sin respuesta / Inactivo",IF(OR(ISNUMBER(SEARCH("PENDIENTE",L169)),ISNUMBER(SEARCH("PENDIENTE",F169)),ISNUMBER(SEARCH("COMPROMISO",F169)),ISNUMBER(SEARCH("COMPROMISO",L169)),ISNUMBER(SEARCH("PROCESO",F169)),ISNUMBER(SEARCH("LLAMAR",F169)),ISNUMBER(SEARCH("ABONO",J169)),EXACT(L169,"P"),EXACT(F169,"P")),"Pendiente / Compromiso","Sin gestionar"))))</f>
        <v/>
      </c>
      <c r="P169" s="44" t="str">
        <f aca="false">IF(B169="","",IF(E169="","Sin definir",IF(ISNUMBER(SEARCH("ITIL",E169)),"ITIL",IF(ISNUMBER(SEARCH("ISO 27001",E169)),"ISO 27001",IF(ISNUMBER(SEARCH("ISO 42001",E169)),"ISO 42001",IF(ISNUMBER(SEARCH("ISO",E169)),"Otras ISO",IF(ISNUMBER(SEARCH("SCRUM",E169)),"SCRUM",IF(ISNUMBER(SEARCH("BRIDGE",E169)),"BRIDGE",IF(ISNUMBER(SEARCH("CDS",E169)),"CDS",IF(ISNUMBER(SEARCH("TOGAF",E169)),"TOGAF",IF(ISNUMBER(SEARCH("DPI",E169)),"DPI",IF(ISNUMBER(SEARCH("DITS",E169)),"DITS",IF(ISNUMBER(SEARCH("AGILE",E169)),"AGILE",IF(ISNUMBER(SEARCH("Ciberseguridad",E169)),"Ciberseguridad","Otros"))))))))))))))</f>
        <v/>
      </c>
      <c r="Q169" s="44" t="str">
        <f aca="false">IF(B169="","",IF(ISNUMBER(K169),IF(K169&lt;=3,"1-3 meses",IF(K169&lt;=6,"4-6 meses","+6 meses")),"Sin dato registrado"))</f>
        <v/>
      </c>
      <c r="R169" s="44" t="str">
        <f aca="false">IF(OR(B169="",M169=""),"",RANK(M169,$M$3:$M$306)+COUNTIF($M$3:M169,M169)-1)</f>
        <v/>
      </c>
    </row>
    <row r="170" customFormat="false" ht="15" hidden="true" customHeight="true" outlineLevel="0" collapsed="false">
      <c r="A170" s="49" t="n">
        <v>22</v>
      </c>
      <c r="C170" s="54"/>
      <c r="M170" s="44" t="str">
        <f aca="false">IF(B170="","",IF(ISNUMBER(I170),I170,IFERROR(VALUE(SUBSTITUTE(SUBSTITUTE(I170,"$",""),".","")),0)))</f>
        <v/>
      </c>
      <c r="N170" s="44" t="str">
        <f aca="false">IF(B170="","",PROPER(TRIM(D170)))</f>
        <v/>
      </c>
      <c r="O170" s="44" t="str">
        <f aca="false">IF(B170="","",IF(OR(ISNUMBER(SEARCH("AL DIA",L170)),ISNUMBER(SEARCH("AL DIA",F170))),"Al día",IF(OR(ISNUMBER(SEARCH("QUIETO",L170)),ISNUMBER(SEARCH("QUIETO",F170)),ISNUMBER(SEARCH("ESPERANDO",L170)),ISNUMBER(SEARCH("ESPERANDO",F170))),"Sin respuesta / Inactivo",IF(OR(ISNUMBER(SEARCH("PENDIENTE",L170)),ISNUMBER(SEARCH("PENDIENTE",F170)),ISNUMBER(SEARCH("COMPROMISO",F170)),ISNUMBER(SEARCH("COMPROMISO",L170)),ISNUMBER(SEARCH("PROCESO",F170)),ISNUMBER(SEARCH("LLAMAR",F170)),ISNUMBER(SEARCH("ABONO",J170)),EXACT(L170,"P"),EXACT(F170,"P")),"Pendiente / Compromiso","Sin gestionar"))))</f>
        <v/>
      </c>
      <c r="P170" s="44" t="str">
        <f aca="false">IF(B170="","",IF(E170="","Sin definir",IF(ISNUMBER(SEARCH("ITIL",E170)),"ITIL",IF(ISNUMBER(SEARCH("ISO 27001",E170)),"ISO 27001",IF(ISNUMBER(SEARCH("ISO 42001",E170)),"ISO 42001",IF(ISNUMBER(SEARCH("ISO",E170)),"Otras ISO",IF(ISNUMBER(SEARCH("SCRUM",E170)),"SCRUM",IF(ISNUMBER(SEARCH("BRIDGE",E170)),"BRIDGE",IF(ISNUMBER(SEARCH("CDS",E170)),"CDS",IF(ISNUMBER(SEARCH("TOGAF",E170)),"TOGAF",IF(ISNUMBER(SEARCH("DPI",E170)),"DPI",IF(ISNUMBER(SEARCH("DITS",E170)),"DITS",IF(ISNUMBER(SEARCH("AGILE",E170)),"AGILE",IF(ISNUMBER(SEARCH("Ciberseguridad",E170)),"Ciberseguridad","Otros"))))))))))))))</f>
        <v/>
      </c>
      <c r="Q170" s="44" t="str">
        <f aca="false">IF(B170="","",IF(ISNUMBER(K170),IF(K170&lt;=3,"1-3 meses",IF(K170&lt;=6,"4-6 meses","+6 meses")),"Sin dato registrado"))</f>
        <v/>
      </c>
      <c r="R170" s="44" t="str">
        <f aca="false">IF(OR(B170="",M170=""),"",RANK(M170,$M$3:$M$306)+COUNTIF($M$3:M170,M170)-1)</f>
        <v/>
      </c>
    </row>
    <row r="171" customFormat="false" ht="15" hidden="true" customHeight="true" outlineLevel="0" collapsed="false">
      <c r="A171" s="50" t="n">
        <v>22</v>
      </c>
      <c r="C171" s="54"/>
      <c r="M171" s="44" t="str">
        <f aca="false">IF(B171="","",IF(ISNUMBER(I171),I171,IFERROR(VALUE(SUBSTITUTE(SUBSTITUTE(I171,"$",""),".","")),0)))</f>
        <v/>
      </c>
      <c r="N171" s="44" t="str">
        <f aca="false">IF(B171="","",PROPER(TRIM(D171)))</f>
        <v/>
      </c>
      <c r="O171" s="44" t="str">
        <f aca="false">IF(B171="","",IF(OR(ISNUMBER(SEARCH("AL DIA",L171)),ISNUMBER(SEARCH("AL DIA",F171))),"Al día",IF(OR(ISNUMBER(SEARCH("QUIETO",L171)),ISNUMBER(SEARCH("QUIETO",F171)),ISNUMBER(SEARCH("ESPERANDO",L171)),ISNUMBER(SEARCH("ESPERANDO",F171))),"Sin respuesta / Inactivo",IF(OR(ISNUMBER(SEARCH("PENDIENTE",L171)),ISNUMBER(SEARCH("PENDIENTE",F171)),ISNUMBER(SEARCH("COMPROMISO",F171)),ISNUMBER(SEARCH("COMPROMISO",L171)),ISNUMBER(SEARCH("PROCESO",F171)),ISNUMBER(SEARCH("LLAMAR",F171)),ISNUMBER(SEARCH("ABONO",J171)),EXACT(L171,"P"),EXACT(F171,"P")),"Pendiente / Compromiso","Sin gestionar"))))</f>
        <v/>
      </c>
      <c r="P171" s="44" t="str">
        <f aca="false">IF(B171="","",IF(E171="","Sin definir",IF(ISNUMBER(SEARCH("ITIL",E171)),"ITIL",IF(ISNUMBER(SEARCH("ISO 27001",E171)),"ISO 27001",IF(ISNUMBER(SEARCH("ISO 42001",E171)),"ISO 42001",IF(ISNUMBER(SEARCH("ISO",E171)),"Otras ISO",IF(ISNUMBER(SEARCH("SCRUM",E171)),"SCRUM",IF(ISNUMBER(SEARCH("BRIDGE",E171)),"BRIDGE",IF(ISNUMBER(SEARCH("CDS",E171)),"CDS",IF(ISNUMBER(SEARCH("TOGAF",E171)),"TOGAF",IF(ISNUMBER(SEARCH("DPI",E171)),"DPI",IF(ISNUMBER(SEARCH("DITS",E171)),"DITS",IF(ISNUMBER(SEARCH("AGILE",E171)),"AGILE",IF(ISNUMBER(SEARCH("Ciberseguridad",E171)),"Ciberseguridad","Otros"))))))))))))))</f>
        <v/>
      </c>
      <c r="Q171" s="44" t="str">
        <f aca="false">IF(B171="","",IF(ISNUMBER(K171),IF(K171&lt;=3,"1-3 meses",IF(K171&lt;=6,"4-6 meses","+6 meses")),"Sin dato registrado"))</f>
        <v/>
      </c>
      <c r="R171" s="44" t="str">
        <f aca="false">IF(OR(B171="",M171=""),"",RANK(M171,$M$3:$M$306)+COUNTIF($M$3:M171,M171)-1)</f>
        <v/>
      </c>
    </row>
    <row r="172" customFormat="false" ht="15" hidden="true" customHeight="true" outlineLevel="0" collapsed="false">
      <c r="A172" s="49" t="n">
        <v>22</v>
      </c>
      <c r="C172" s="54"/>
      <c r="M172" s="44" t="str">
        <f aca="false">IF(B172="","",IF(ISNUMBER(I172),I172,IFERROR(VALUE(SUBSTITUTE(SUBSTITUTE(I172,"$",""),".","")),0)))</f>
        <v/>
      </c>
      <c r="N172" s="44" t="str">
        <f aca="false">IF(B172="","",PROPER(TRIM(D172)))</f>
        <v/>
      </c>
      <c r="O172" s="44" t="str">
        <f aca="false">IF(B172="","",IF(OR(ISNUMBER(SEARCH("AL DIA",L172)),ISNUMBER(SEARCH("AL DIA",F172))),"Al día",IF(OR(ISNUMBER(SEARCH("QUIETO",L172)),ISNUMBER(SEARCH("QUIETO",F172)),ISNUMBER(SEARCH("ESPERANDO",L172)),ISNUMBER(SEARCH("ESPERANDO",F172))),"Sin respuesta / Inactivo",IF(OR(ISNUMBER(SEARCH("PENDIENTE",L172)),ISNUMBER(SEARCH("PENDIENTE",F172)),ISNUMBER(SEARCH("COMPROMISO",F172)),ISNUMBER(SEARCH("COMPROMISO",L172)),ISNUMBER(SEARCH("PROCESO",F172)),ISNUMBER(SEARCH("LLAMAR",F172)),ISNUMBER(SEARCH("ABONO",J172)),EXACT(L172,"P"),EXACT(F172,"P")),"Pendiente / Compromiso","Sin gestionar"))))</f>
        <v/>
      </c>
      <c r="P172" s="44" t="str">
        <f aca="false">IF(B172="","",IF(E172="","Sin definir",IF(ISNUMBER(SEARCH("ITIL",E172)),"ITIL",IF(ISNUMBER(SEARCH("ISO 27001",E172)),"ISO 27001",IF(ISNUMBER(SEARCH("ISO 42001",E172)),"ISO 42001",IF(ISNUMBER(SEARCH("ISO",E172)),"Otras ISO",IF(ISNUMBER(SEARCH("SCRUM",E172)),"SCRUM",IF(ISNUMBER(SEARCH("BRIDGE",E172)),"BRIDGE",IF(ISNUMBER(SEARCH("CDS",E172)),"CDS",IF(ISNUMBER(SEARCH("TOGAF",E172)),"TOGAF",IF(ISNUMBER(SEARCH("DPI",E172)),"DPI",IF(ISNUMBER(SEARCH("DITS",E172)),"DITS",IF(ISNUMBER(SEARCH("AGILE",E172)),"AGILE",IF(ISNUMBER(SEARCH("Ciberseguridad",E172)),"Ciberseguridad","Otros"))))))))))))))</f>
        <v/>
      </c>
      <c r="Q172" s="44" t="str">
        <f aca="false">IF(B172="","",IF(ISNUMBER(K172),IF(K172&lt;=3,"1-3 meses",IF(K172&lt;=6,"4-6 meses","+6 meses")),"Sin dato registrado"))</f>
        <v/>
      </c>
      <c r="R172" s="44" t="str">
        <f aca="false">IF(OR(B172="",M172=""),"",RANK(M172,$M$3:$M$306)+COUNTIF($M$3:M172,M172)-1)</f>
        <v/>
      </c>
    </row>
    <row r="173" customFormat="false" ht="15" hidden="true" customHeight="true" outlineLevel="0" collapsed="false">
      <c r="A173" s="50" t="n">
        <v>22</v>
      </c>
      <c r="C173" s="54"/>
      <c r="M173" s="44" t="str">
        <f aca="false">IF(B173="","",IF(ISNUMBER(I173),I173,IFERROR(VALUE(SUBSTITUTE(SUBSTITUTE(I173,"$",""),".","")),0)))</f>
        <v/>
      </c>
      <c r="N173" s="44" t="str">
        <f aca="false">IF(B173="","",PROPER(TRIM(D173)))</f>
        <v/>
      </c>
      <c r="O173" s="44" t="str">
        <f aca="false">IF(B173="","",IF(OR(ISNUMBER(SEARCH("AL DIA",L173)),ISNUMBER(SEARCH("AL DIA",F173))),"Al día",IF(OR(ISNUMBER(SEARCH("QUIETO",L173)),ISNUMBER(SEARCH("QUIETO",F173)),ISNUMBER(SEARCH("ESPERANDO",L173)),ISNUMBER(SEARCH("ESPERANDO",F173))),"Sin respuesta / Inactivo",IF(OR(ISNUMBER(SEARCH("PENDIENTE",L173)),ISNUMBER(SEARCH("PENDIENTE",F173)),ISNUMBER(SEARCH("COMPROMISO",F173)),ISNUMBER(SEARCH("COMPROMISO",L173)),ISNUMBER(SEARCH("PROCESO",F173)),ISNUMBER(SEARCH("LLAMAR",F173)),ISNUMBER(SEARCH("ABONO",J173)),EXACT(L173,"P"),EXACT(F173,"P")),"Pendiente / Compromiso","Sin gestionar"))))</f>
        <v/>
      </c>
      <c r="P173" s="44" t="str">
        <f aca="false">IF(B173="","",IF(E173="","Sin definir",IF(ISNUMBER(SEARCH("ITIL",E173)),"ITIL",IF(ISNUMBER(SEARCH("ISO 27001",E173)),"ISO 27001",IF(ISNUMBER(SEARCH("ISO 42001",E173)),"ISO 42001",IF(ISNUMBER(SEARCH("ISO",E173)),"Otras ISO",IF(ISNUMBER(SEARCH("SCRUM",E173)),"SCRUM",IF(ISNUMBER(SEARCH("BRIDGE",E173)),"BRIDGE",IF(ISNUMBER(SEARCH("CDS",E173)),"CDS",IF(ISNUMBER(SEARCH("TOGAF",E173)),"TOGAF",IF(ISNUMBER(SEARCH("DPI",E173)),"DPI",IF(ISNUMBER(SEARCH("DITS",E173)),"DITS",IF(ISNUMBER(SEARCH("AGILE",E173)),"AGILE",IF(ISNUMBER(SEARCH("Ciberseguridad",E173)),"Ciberseguridad","Otros"))))))))))))))</f>
        <v/>
      </c>
      <c r="Q173" s="44" t="str">
        <f aca="false">IF(B173="","",IF(ISNUMBER(K173),IF(K173&lt;=3,"1-3 meses",IF(K173&lt;=6,"4-6 meses","+6 meses")),"Sin dato registrado"))</f>
        <v/>
      </c>
      <c r="R173" s="44" t="str">
        <f aca="false">IF(OR(B173="",M173=""),"",RANK(M173,$M$3:$M$306)+COUNTIF($M$3:M173,M173)-1)</f>
        <v/>
      </c>
    </row>
    <row r="174" customFormat="false" ht="15" hidden="true" customHeight="true" outlineLevel="0" collapsed="false">
      <c r="A174" s="49" t="n">
        <v>22</v>
      </c>
      <c r="C174" s="54"/>
      <c r="M174" s="44" t="str">
        <f aca="false">IF(B174="","",IF(ISNUMBER(I174),I174,IFERROR(VALUE(SUBSTITUTE(SUBSTITUTE(I174,"$",""),".","")),0)))</f>
        <v/>
      </c>
      <c r="N174" s="44" t="str">
        <f aca="false">IF(B174="","",PROPER(TRIM(D174)))</f>
        <v/>
      </c>
      <c r="O174" s="44" t="str">
        <f aca="false">IF(B174="","",IF(OR(ISNUMBER(SEARCH("AL DIA",L174)),ISNUMBER(SEARCH("AL DIA",F174))),"Al día",IF(OR(ISNUMBER(SEARCH("QUIETO",L174)),ISNUMBER(SEARCH("QUIETO",F174)),ISNUMBER(SEARCH("ESPERANDO",L174)),ISNUMBER(SEARCH("ESPERANDO",F174))),"Sin respuesta / Inactivo",IF(OR(ISNUMBER(SEARCH("PENDIENTE",L174)),ISNUMBER(SEARCH("PENDIENTE",F174)),ISNUMBER(SEARCH("COMPROMISO",F174)),ISNUMBER(SEARCH("COMPROMISO",L174)),ISNUMBER(SEARCH("PROCESO",F174)),ISNUMBER(SEARCH("LLAMAR",F174)),ISNUMBER(SEARCH("ABONO",J174)),EXACT(L174,"P"),EXACT(F174,"P")),"Pendiente / Compromiso","Sin gestionar"))))</f>
        <v/>
      </c>
      <c r="P174" s="44" t="str">
        <f aca="false">IF(B174="","",IF(E174="","Sin definir",IF(ISNUMBER(SEARCH("ITIL",E174)),"ITIL",IF(ISNUMBER(SEARCH("ISO 27001",E174)),"ISO 27001",IF(ISNUMBER(SEARCH("ISO 42001",E174)),"ISO 42001",IF(ISNUMBER(SEARCH("ISO",E174)),"Otras ISO",IF(ISNUMBER(SEARCH("SCRUM",E174)),"SCRUM",IF(ISNUMBER(SEARCH("BRIDGE",E174)),"BRIDGE",IF(ISNUMBER(SEARCH("CDS",E174)),"CDS",IF(ISNUMBER(SEARCH("TOGAF",E174)),"TOGAF",IF(ISNUMBER(SEARCH("DPI",E174)),"DPI",IF(ISNUMBER(SEARCH("DITS",E174)),"DITS",IF(ISNUMBER(SEARCH("AGILE",E174)),"AGILE",IF(ISNUMBER(SEARCH("Ciberseguridad",E174)),"Ciberseguridad","Otros"))))))))))))))</f>
        <v/>
      </c>
      <c r="Q174" s="44" t="str">
        <f aca="false">IF(B174="","",IF(ISNUMBER(K174),IF(K174&lt;=3,"1-3 meses",IF(K174&lt;=6,"4-6 meses","+6 meses")),"Sin dato registrado"))</f>
        <v/>
      </c>
      <c r="R174" s="44" t="str">
        <f aca="false">IF(OR(B174="",M174=""),"",RANK(M174,$M$3:$M$306)+COUNTIF($M$3:M174,M174)-1)</f>
        <v/>
      </c>
    </row>
    <row r="175" customFormat="false" ht="15" hidden="true" customHeight="true" outlineLevel="0" collapsed="false">
      <c r="A175" s="50" t="n">
        <v>22</v>
      </c>
      <c r="C175" s="54"/>
      <c r="M175" s="44" t="str">
        <f aca="false">IF(B175="","",IF(ISNUMBER(I175),I175,IFERROR(VALUE(SUBSTITUTE(SUBSTITUTE(I175,"$",""),".","")),0)))</f>
        <v/>
      </c>
      <c r="N175" s="44" t="str">
        <f aca="false">IF(B175="","",PROPER(TRIM(D175)))</f>
        <v/>
      </c>
      <c r="O175" s="44" t="str">
        <f aca="false">IF(B175="","",IF(OR(ISNUMBER(SEARCH("AL DIA",L175)),ISNUMBER(SEARCH("AL DIA",F175))),"Al día",IF(OR(ISNUMBER(SEARCH("QUIETO",L175)),ISNUMBER(SEARCH("QUIETO",F175)),ISNUMBER(SEARCH("ESPERANDO",L175)),ISNUMBER(SEARCH("ESPERANDO",F175))),"Sin respuesta / Inactivo",IF(OR(ISNUMBER(SEARCH("PENDIENTE",L175)),ISNUMBER(SEARCH("PENDIENTE",F175)),ISNUMBER(SEARCH("COMPROMISO",F175)),ISNUMBER(SEARCH("COMPROMISO",L175)),ISNUMBER(SEARCH("PROCESO",F175)),ISNUMBER(SEARCH("LLAMAR",F175)),ISNUMBER(SEARCH("ABONO",J175)),EXACT(L175,"P"),EXACT(F175,"P")),"Pendiente / Compromiso","Sin gestionar"))))</f>
        <v/>
      </c>
      <c r="P175" s="44" t="str">
        <f aca="false">IF(B175="","",IF(E175="","Sin definir",IF(ISNUMBER(SEARCH("ITIL",E175)),"ITIL",IF(ISNUMBER(SEARCH("ISO 27001",E175)),"ISO 27001",IF(ISNUMBER(SEARCH("ISO 42001",E175)),"ISO 42001",IF(ISNUMBER(SEARCH("ISO",E175)),"Otras ISO",IF(ISNUMBER(SEARCH("SCRUM",E175)),"SCRUM",IF(ISNUMBER(SEARCH("BRIDGE",E175)),"BRIDGE",IF(ISNUMBER(SEARCH("CDS",E175)),"CDS",IF(ISNUMBER(SEARCH("TOGAF",E175)),"TOGAF",IF(ISNUMBER(SEARCH("DPI",E175)),"DPI",IF(ISNUMBER(SEARCH("DITS",E175)),"DITS",IF(ISNUMBER(SEARCH("AGILE",E175)),"AGILE",IF(ISNUMBER(SEARCH("Ciberseguridad",E175)),"Ciberseguridad","Otros"))))))))))))))</f>
        <v/>
      </c>
      <c r="Q175" s="44" t="str">
        <f aca="false">IF(B175="","",IF(ISNUMBER(K175),IF(K175&lt;=3,"1-3 meses",IF(K175&lt;=6,"4-6 meses","+6 meses")),"Sin dato registrado"))</f>
        <v/>
      </c>
      <c r="R175" s="44" t="str">
        <f aca="false">IF(OR(B175="",M175=""),"",RANK(M175,$M$3:$M$306)+COUNTIF($M$3:M175,M175)-1)</f>
        <v/>
      </c>
    </row>
    <row r="176" customFormat="false" ht="15" hidden="true" customHeight="true" outlineLevel="0" collapsed="false">
      <c r="A176" s="49" t="n">
        <v>22</v>
      </c>
      <c r="C176" s="54"/>
      <c r="M176" s="44" t="str">
        <f aca="false">IF(B176="","",IF(ISNUMBER(I176),I176,IFERROR(VALUE(SUBSTITUTE(SUBSTITUTE(I176,"$",""),".","")),0)))</f>
        <v/>
      </c>
      <c r="N176" s="44" t="str">
        <f aca="false">IF(B176="","",PROPER(TRIM(D176)))</f>
        <v/>
      </c>
      <c r="O176" s="44" t="str">
        <f aca="false">IF(B176="","",IF(OR(ISNUMBER(SEARCH("AL DIA",L176)),ISNUMBER(SEARCH("AL DIA",F176))),"Al día",IF(OR(ISNUMBER(SEARCH("QUIETO",L176)),ISNUMBER(SEARCH("QUIETO",F176)),ISNUMBER(SEARCH("ESPERANDO",L176)),ISNUMBER(SEARCH("ESPERANDO",F176))),"Sin respuesta / Inactivo",IF(OR(ISNUMBER(SEARCH("PENDIENTE",L176)),ISNUMBER(SEARCH("PENDIENTE",F176)),ISNUMBER(SEARCH("COMPROMISO",F176)),ISNUMBER(SEARCH("COMPROMISO",L176)),ISNUMBER(SEARCH("PROCESO",F176)),ISNUMBER(SEARCH("LLAMAR",F176)),ISNUMBER(SEARCH("ABONO",J176)),EXACT(L176,"P"),EXACT(F176,"P")),"Pendiente / Compromiso","Sin gestionar"))))</f>
        <v/>
      </c>
      <c r="P176" s="44" t="str">
        <f aca="false">IF(B176="","",IF(E176="","Sin definir",IF(ISNUMBER(SEARCH("ITIL",E176)),"ITIL",IF(ISNUMBER(SEARCH("ISO 27001",E176)),"ISO 27001",IF(ISNUMBER(SEARCH("ISO 42001",E176)),"ISO 42001",IF(ISNUMBER(SEARCH("ISO",E176)),"Otras ISO",IF(ISNUMBER(SEARCH("SCRUM",E176)),"SCRUM",IF(ISNUMBER(SEARCH("BRIDGE",E176)),"BRIDGE",IF(ISNUMBER(SEARCH("CDS",E176)),"CDS",IF(ISNUMBER(SEARCH("TOGAF",E176)),"TOGAF",IF(ISNUMBER(SEARCH("DPI",E176)),"DPI",IF(ISNUMBER(SEARCH("DITS",E176)),"DITS",IF(ISNUMBER(SEARCH("AGILE",E176)),"AGILE",IF(ISNUMBER(SEARCH("Ciberseguridad",E176)),"Ciberseguridad","Otros"))))))))))))))</f>
        <v/>
      </c>
      <c r="Q176" s="44" t="str">
        <f aca="false">IF(B176="","",IF(ISNUMBER(K176),IF(K176&lt;=3,"1-3 meses",IF(K176&lt;=6,"4-6 meses","+6 meses")),"Sin dato registrado"))</f>
        <v/>
      </c>
      <c r="R176" s="44" t="str">
        <f aca="false">IF(OR(B176="",M176=""),"",RANK(M176,$M$3:$M$306)+COUNTIF($M$3:M176,M176)-1)</f>
        <v/>
      </c>
    </row>
    <row r="177" customFormat="false" ht="15" hidden="true" customHeight="true" outlineLevel="0" collapsed="false">
      <c r="A177" s="50" t="n">
        <v>22</v>
      </c>
      <c r="C177" s="54"/>
      <c r="M177" s="44" t="str">
        <f aca="false">IF(B177="","",IF(ISNUMBER(I177),I177,IFERROR(VALUE(SUBSTITUTE(SUBSTITUTE(I177,"$",""),".","")),0)))</f>
        <v/>
      </c>
      <c r="N177" s="44" t="str">
        <f aca="false">IF(B177="","",PROPER(TRIM(D177)))</f>
        <v/>
      </c>
      <c r="O177" s="44" t="str">
        <f aca="false">IF(B177="","",IF(OR(ISNUMBER(SEARCH("AL DIA",L177)),ISNUMBER(SEARCH("AL DIA",F177))),"Al día",IF(OR(ISNUMBER(SEARCH("QUIETO",L177)),ISNUMBER(SEARCH("QUIETO",F177)),ISNUMBER(SEARCH("ESPERANDO",L177)),ISNUMBER(SEARCH("ESPERANDO",F177))),"Sin respuesta / Inactivo",IF(OR(ISNUMBER(SEARCH("PENDIENTE",L177)),ISNUMBER(SEARCH("PENDIENTE",F177)),ISNUMBER(SEARCH("COMPROMISO",F177)),ISNUMBER(SEARCH("COMPROMISO",L177)),ISNUMBER(SEARCH("PROCESO",F177)),ISNUMBER(SEARCH("LLAMAR",F177)),ISNUMBER(SEARCH("ABONO",J177)),EXACT(L177,"P"),EXACT(F177,"P")),"Pendiente / Compromiso","Sin gestionar"))))</f>
        <v/>
      </c>
      <c r="P177" s="44" t="str">
        <f aca="false">IF(B177="","",IF(E177="","Sin definir",IF(ISNUMBER(SEARCH("ITIL",E177)),"ITIL",IF(ISNUMBER(SEARCH("ISO 27001",E177)),"ISO 27001",IF(ISNUMBER(SEARCH("ISO 42001",E177)),"ISO 42001",IF(ISNUMBER(SEARCH("ISO",E177)),"Otras ISO",IF(ISNUMBER(SEARCH("SCRUM",E177)),"SCRUM",IF(ISNUMBER(SEARCH("BRIDGE",E177)),"BRIDGE",IF(ISNUMBER(SEARCH("CDS",E177)),"CDS",IF(ISNUMBER(SEARCH("TOGAF",E177)),"TOGAF",IF(ISNUMBER(SEARCH("DPI",E177)),"DPI",IF(ISNUMBER(SEARCH("DITS",E177)),"DITS",IF(ISNUMBER(SEARCH("AGILE",E177)),"AGILE",IF(ISNUMBER(SEARCH("Ciberseguridad",E177)),"Ciberseguridad","Otros"))))))))))))))</f>
        <v/>
      </c>
      <c r="Q177" s="44" t="str">
        <f aca="false">IF(B177="","",IF(ISNUMBER(K177),IF(K177&lt;=3,"1-3 meses",IF(K177&lt;=6,"4-6 meses","+6 meses")),"Sin dato registrado"))</f>
        <v/>
      </c>
      <c r="R177" s="44" t="str">
        <f aca="false">IF(OR(B177="",M177=""),"",RANK(M177,$M$3:$M$306)+COUNTIF($M$3:M177,M177)-1)</f>
        <v/>
      </c>
    </row>
    <row r="178" customFormat="false" ht="15" hidden="true" customHeight="true" outlineLevel="0" collapsed="false">
      <c r="A178" s="49" t="n">
        <v>22</v>
      </c>
      <c r="C178" s="54"/>
      <c r="M178" s="44" t="str">
        <f aca="false">IF(B178="","",IF(ISNUMBER(I178),I178,IFERROR(VALUE(SUBSTITUTE(SUBSTITUTE(I178,"$",""),".","")),0)))</f>
        <v/>
      </c>
      <c r="N178" s="44" t="str">
        <f aca="false">IF(B178="","",PROPER(TRIM(D178)))</f>
        <v/>
      </c>
      <c r="O178" s="44" t="str">
        <f aca="false">IF(B178="","",IF(OR(ISNUMBER(SEARCH("AL DIA",L178)),ISNUMBER(SEARCH("AL DIA",F178))),"Al día",IF(OR(ISNUMBER(SEARCH("QUIETO",L178)),ISNUMBER(SEARCH("QUIETO",F178)),ISNUMBER(SEARCH("ESPERANDO",L178)),ISNUMBER(SEARCH("ESPERANDO",F178))),"Sin respuesta / Inactivo",IF(OR(ISNUMBER(SEARCH("PENDIENTE",L178)),ISNUMBER(SEARCH("PENDIENTE",F178)),ISNUMBER(SEARCH("COMPROMISO",F178)),ISNUMBER(SEARCH("COMPROMISO",L178)),ISNUMBER(SEARCH("PROCESO",F178)),ISNUMBER(SEARCH("LLAMAR",F178)),ISNUMBER(SEARCH("ABONO",J178)),EXACT(L178,"P"),EXACT(F178,"P")),"Pendiente / Compromiso","Sin gestionar"))))</f>
        <v/>
      </c>
      <c r="P178" s="44" t="str">
        <f aca="false">IF(B178="","",IF(E178="","Sin definir",IF(ISNUMBER(SEARCH("ITIL",E178)),"ITIL",IF(ISNUMBER(SEARCH("ISO 27001",E178)),"ISO 27001",IF(ISNUMBER(SEARCH("ISO 42001",E178)),"ISO 42001",IF(ISNUMBER(SEARCH("ISO",E178)),"Otras ISO",IF(ISNUMBER(SEARCH("SCRUM",E178)),"SCRUM",IF(ISNUMBER(SEARCH("BRIDGE",E178)),"BRIDGE",IF(ISNUMBER(SEARCH("CDS",E178)),"CDS",IF(ISNUMBER(SEARCH("TOGAF",E178)),"TOGAF",IF(ISNUMBER(SEARCH("DPI",E178)),"DPI",IF(ISNUMBER(SEARCH("DITS",E178)),"DITS",IF(ISNUMBER(SEARCH("AGILE",E178)),"AGILE",IF(ISNUMBER(SEARCH("Ciberseguridad",E178)),"Ciberseguridad","Otros"))))))))))))))</f>
        <v/>
      </c>
      <c r="Q178" s="44" t="str">
        <f aca="false">IF(B178="","",IF(ISNUMBER(K178),IF(K178&lt;=3,"1-3 meses",IF(K178&lt;=6,"4-6 meses","+6 meses")),"Sin dato registrado"))</f>
        <v/>
      </c>
      <c r="R178" s="44" t="str">
        <f aca="false">IF(OR(B178="",M178=""),"",RANK(M178,$M$3:$M$306)+COUNTIF($M$3:M178,M178)-1)</f>
        <v/>
      </c>
    </row>
    <row r="179" customFormat="false" ht="15" hidden="true" customHeight="true" outlineLevel="0" collapsed="false">
      <c r="A179" s="50" t="n">
        <v>22</v>
      </c>
      <c r="C179" s="54"/>
      <c r="M179" s="44" t="str">
        <f aca="false">IF(B179="","",IF(ISNUMBER(I179),I179,IFERROR(VALUE(SUBSTITUTE(SUBSTITUTE(I179,"$",""),".","")),0)))</f>
        <v/>
      </c>
      <c r="N179" s="44" t="str">
        <f aca="false">IF(B179="","",PROPER(TRIM(D179)))</f>
        <v/>
      </c>
      <c r="O179" s="44" t="str">
        <f aca="false">IF(B179="","",IF(OR(ISNUMBER(SEARCH("AL DIA",L179)),ISNUMBER(SEARCH("AL DIA",F179))),"Al día",IF(OR(ISNUMBER(SEARCH("QUIETO",L179)),ISNUMBER(SEARCH("QUIETO",F179)),ISNUMBER(SEARCH("ESPERANDO",L179)),ISNUMBER(SEARCH("ESPERANDO",F179))),"Sin respuesta / Inactivo",IF(OR(ISNUMBER(SEARCH("PENDIENTE",L179)),ISNUMBER(SEARCH("PENDIENTE",F179)),ISNUMBER(SEARCH("COMPROMISO",F179)),ISNUMBER(SEARCH("COMPROMISO",L179)),ISNUMBER(SEARCH("PROCESO",F179)),ISNUMBER(SEARCH("LLAMAR",F179)),ISNUMBER(SEARCH("ABONO",J179)),EXACT(L179,"P"),EXACT(F179,"P")),"Pendiente / Compromiso","Sin gestionar"))))</f>
        <v/>
      </c>
      <c r="P179" s="44" t="str">
        <f aca="false">IF(B179="","",IF(E179="","Sin definir",IF(ISNUMBER(SEARCH("ITIL",E179)),"ITIL",IF(ISNUMBER(SEARCH("ISO 27001",E179)),"ISO 27001",IF(ISNUMBER(SEARCH("ISO 42001",E179)),"ISO 42001",IF(ISNUMBER(SEARCH("ISO",E179)),"Otras ISO",IF(ISNUMBER(SEARCH("SCRUM",E179)),"SCRUM",IF(ISNUMBER(SEARCH("BRIDGE",E179)),"BRIDGE",IF(ISNUMBER(SEARCH("CDS",E179)),"CDS",IF(ISNUMBER(SEARCH("TOGAF",E179)),"TOGAF",IF(ISNUMBER(SEARCH("DPI",E179)),"DPI",IF(ISNUMBER(SEARCH("DITS",E179)),"DITS",IF(ISNUMBER(SEARCH("AGILE",E179)),"AGILE",IF(ISNUMBER(SEARCH("Ciberseguridad",E179)),"Ciberseguridad","Otros"))))))))))))))</f>
        <v/>
      </c>
      <c r="Q179" s="44" t="str">
        <f aca="false">IF(B179="","",IF(ISNUMBER(K179),IF(K179&lt;=3,"1-3 meses",IF(K179&lt;=6,"4-6 meses","+6 meses")),"Sin dato registrado"))</f>
        <v/>
      </c>
      <c r="R179" s="44" t="str">
        <f aca="false">IF(OR(B179="",M179=""),"",RANK(M179,$M$3:$M$306)+COUNTIF($M$3:M179,M179)-1)</f>
        <v/>
      </c>
    </row>
    <row r="180" customFormat="false" ht="15" hidden="true" customHeight="true" outlineLevel="0" collapsed="false">
      <c r="A180" s="49" t="n">
        <v>22</v>
      </c>
      <c r="C180" s="54"/>
      <c r="M180" s="44" t="str">
        <f aca="false">IF(B180="","",IF(ISNUMBER(I180),I180,IFERROR(VALUE(SUBSTITUTE(SUBSTITUTE(I180,"$",""),".","")),0)))</f>
        <v/>
      </c>
      <c r="N180" s="44" t="str">
        <f aca="false">IF(B180="","",PROPER(TRIM(D180)))</f>
        <v/>
      </c>
      <c r="O180" s="44" t="str">
        <f aca="false">IF(B180="","",IF(OR(ISNUMBER(SEARCH("AL DIA",L180)),ISNUMBER(SEARCH("AL DIA",F180))),"Al día",IF(OR(ISNUMBER(SEARCH("QUIETO",L180)),ISNUMBER(SEARCH("QUIETO",F180)),ISNUMBER(SEARCH("ESPERANDO",L180)),ISNUMBER(SEARCH("ESPERANDO",F180))),"Sin respuesta / Inactivo",IF(OR(ISNUMBER(SEARCH("PENDIENTE",L180)),ISNUMBER(SEARCH("PENDIENTE",F180)),ISNUMBER(SEARCH("COMPROMISO",F180)),ISNUMBER(SEARCH("COMPROMISO",L180)),ISNUMBER(SEARCH("PROCESO",F180)),ISNUMBER(SEARCH("LLAMAR",F180)),ISNUMBER(SEARCH("ABONO",J180)),EXACT(L180,"P"),EXACT(F180,"P")),"Pendiente / Compromiso","Sin gestionar"))))</f>
        <v/>
      </c>
      <c r="P180" s="44" t="str">
        <f aca="false">IF(B180="","",IF(E180="","Sin definir",IF(ISNUMBER(SEARCH("ITIL",E180)),"ITIL",IF(ISNUMBER(SEARCH("ISO 27001",E180)),"ISO 27001",IF(ISNUMBER(SEARCH("ISO 42001",E180)),"ISO 42001",IF(ISNUMBER(SEARCH("ISO",E180)),"Otras ISO",IF(ISNUMBER(SEARCH("SCRUM",E180)),"SCRUM",IF(ISNUMBER(SEARCH("BRIDGE",E180)),"BRIDGE",IF(ISNUMBER(SEARCH("CDS",E180)),"CDS",IF(ISNUMBER(SEARCH("TOGAF",E180)),"TOGAF",IF(ISNUMBER(SEARCH("DPI",E180)),"DPI",IF(ISNUMBER(SEARCH("DITS",E180)),"DITS",IF(ISNUMBER(SEARCH("AGILE",E180)),"AGILE",IF(ISNUMBER(SEARCH("Ciberseguridad",E180)),"Ciberseguridad","Otros"))))))))))))))</f>
        <v/>
      </c>
      <c r="Q180" s="44" t="str">
        <f aca="false">IF(B180="","",IF(ISNUMBER(K180),IF(K180&lt;=3,"1-3 meses",IF(K180&lt;=6,"4-6 meses","+6 meses")),"Sin dato registrado"))</f>
        <v/>
      </c>
      <c r="R180" s="44" t="str">
        <f aca="false">IF(OR(B180="",M180=""),"",RANK(M180,$M$3:$M$306)+COUNTIF($M$3:M180,M180)-1)</f>
        <v/>
      </c>
    </row>
    <row r="181" customFormat="false" ht="15" hidden="true" customHeight="true" outlineLevel="0" collapsed="false">
      <c r="A181" s="50" t="n">
        <v>22</v>
      </c>
      <c r="C181" s="54"/>
      <c r="M181" s="44" t="str">
        <f aca="false">IF(B181="","",IF(ISNUMBER(I181),I181,IFERROR(VALUE(SUBSTITUTE(SUBSTITUTE(I181,"$",""),".","")),0)))</f>
        <v/>
      </c>
      <c r="N181" s="44" t="str">
        <f aca="false">IF(B181="","",PROPER(TRIM(D181)))</f>
        <v/>
      </c>
      <c r="O181" s="44" t="str">
        <f aca="false">IF(B181="","",IF(OR(ISNUMBER(SEARCH("AL DIA",L181)),ISNUMBER(SEARCH("AL DIA",F181))),"Al día",IF(OR(ISNUMBER(SEARCH("QUIETO",L181)),ISNUMBER(SEARCH("QUIETO",F181)),ISNUMBER(SEARCH("ESPERANDO",L181)),ISNUMBER(SEARCH("ESPERANDO",F181))),"Sin respuesta / Inactivo",IF(OR(ISNUMBER(SEARCH("PENDIENTE",L181)),ISNUMBER(SEARCH("PENDIENTE",F181)),ISNUMBER(SEARCH("COMPROMISO",F181)),ISNUMBER(SEARCH("COMPROMISO",L181)),ISNUMBER(SEARCH("PROCESO",F181)),ISNUMBER(SEARCH("LLAMAR",F181)),ISNUMBER(SEARCH("ABONO",J181)),EXACT(L181,"P"),EXACT(F181,"P")),"Pendiente / Compromiso","Sin gestionar"))))</f>
        <v/>
      </c>
      <c r="P181" s="44" t="str">
        <f aca="false">IF(B181="","",IF(E181="","Sin definir",IF(ISNUMBER(SEARCH("ITIL",E181)),"ITIL",IF(ISNUMBER(SEARCH("ISO 27001",E181)),"ISO 27001",IF(ISNUMBER(SEARCH("ISO 42001",E181)),"ISO 42001",IF(ISNUMBER(SEARCH("ISO",E181)),"Otras ISO",IF(ISNUMBER(SEARCH("SCRUM",E181)),"SCRUM",IF(ISNUMBER(SEARCH("BRIDGE",E181)),"BRIDGE",IF(ISNUMBER(SEARCH("CDS",E181)),"CDS",IF(ISNUMBER(SEARCH("TOGAF",E181)),"TOGAF",IF(ISNUMBER(SEARCH("DPI",E181)),"DPI",IF(ISNUMBER(SEARCH("DITS",E181)),"DITS",IF(ISNUMBER(SEARCH("AGILE",E181)),"AGILE",IF(ISNUMBER(SEARCH("Ciberseguridad",E181)),"Ciberseguridad","Otros"))))))))))))))</f>
        <v/>
      </c>
      <c r="Q181" s="44" t="str">
        <f aca="false">IF(B181="","",IF(ISNUMBER(K181),IF(K181&lt;=3,"1-3 meses",IF(K181&lt;=6,"4-6 meses","+6 meses")),"Sin dato registrado"))</f>
        <v/>
      </c>
      <c r="R181" s="44" t="str">
        <f aca="false">IF(OR(B181="",M181=""),"",RANK(M181,$M$3:$M$306)+COUNTIF($M$3:M181,M181)-1)</f>
        <v/>
      </c>
    </row>
    <row r="182" customFormat="false" ht="15" hidden="true" customHeight="true" outlineLevel="0" collapsed="false">
      <c r="A182" s="49" t="n">
        <v>22</v>
      </c>
      <c r="C182" s="54"/>
      <c r="M182" s="44" t="str">
        <f aca="false">IF(B182="","",IF(ISNUMBER(I182),I182,IFERROR(VALUE(SUBSTITUTE(SUBSTITUTE(I182,"$",""),".","")),0)))</f>
        <v/>
      </c>
      <c r="N182" s="44" t="str">
        <f aca="false">IF(B182="","",PROPER(TRIM(D182)))</f>
        <v/>
      </c>
      <c r="O182" s="44" t="str">
        <f aca="false">IF(B182="","",IF(OR(ISNUMBER(SEARCH("AL DIA",L182)),ISNUMBER(SEARCH("AL DIA",F182))),"Al día",IF(OR(ISNUMBER(SEARCH("QUIETO",L182)),ISNUMBER(SEARCH("QUIETO",F182)),ISNUMBER(SEARCH("ESPERANDO",L182)),ISNUMBER(SEARCH("ESPERANDO",F182))),"Sin respuesta / Inactivo",IF(OR(ISNUMBER(SEARCH("PENDIENTE",L182)),ISNUMBER(SEARCH("PENDIENTE",F182)),ISNUMBER(SEARCH("COMPROMISO",F182)),ISNUMBER(SEARCH("COMPROMISO",L182)),ISNUMBER(SEARCH("PROCESO",F182)),ISNUMBER(SEARCH("LLAMAR",F182)),ISNUMBER(SEARCH("ABONO",J182)),EXACT(L182,"P"),EXACT(F182,"P")),"Pendiente / Compromiso","Sin gestionar"))))</f>
        <v/>
      </c>
      <c r="P182" s="44" t="str">
        <f aca="false">IF(B182="","",IF(E182="","Sin definir",IF(ISNUMBER(SEARCH("ITIL",E182)),"ITIL",IF(ISNUMBER(SEARCH("ISO 27001",E182)),"ISO 27001",IF(ISNUMBER(SEARCH("ISO 42001",E182)),"ISO 42001",IF(ISNUMBER(SEARCH("ISO",E182)),"Otras ISO",IF(ISNUMBER(SEARCH("SCRUM",E182)),"SCRUM",IF(ISNUMBER(SEARCH("BRIDGE",E182)),"BRIDGE",IF(ISNUMBER(SEARCH("CDS",E182)),"CDS",IF(ISNUMBER(SEARCH("TOGAF",E182)),"TOGAF",IF(ISNUMBER(SEARCH("DPI",E182)),"DPI",IF(ISNUMBER(SEARCH("DITS",E182)),"DITS",IF(ISNUMBER(SEARCH("AGILE",E182)),"AGILE",IF(ISNUMBER(SEARCH("Ciberseguridad",E182)),"Ciberseguridad","Otros"))))))))))))))</f>
        <v/>
      </c>
      <c r="Q182" s="44" t="str">
        <f aca="false">IF(B182="","",IF(ISNUMBER(K182),IF(K182&lt;=3,"1-3 meses",IF(K182&lt;=6,"4-6 meses","+6 meses")),"Sin dato registrado"))</f>
        <v/>
      </c>
      <c r="R182" s="44" t="str">
        <f aca="false">IF(OR(B182="",M182=""),"",RANK(M182,$M$3:$M$306)+COUNTIF($M$3:M182,M182)-1)</f>
        <v/>
      </c>
    </row>
    <row r="183" customFormat="false" ht="15" hidden="true" customHeight="true" outlineLevel="0" collapsed="false">
      <c r="A183" s="50" t="n">
        <v>22</v>
      </c>
      <c r="C183" s="54"/>
      <c r="M183" s="44" t="str">
        <f aca="false">IF(B183="","",IF(ISNUMBER(I183),I183,IFERROR(VALUE(SUBSTITUTE(SUBSTITUTE(I183,"$",""),".","")),0)))</f>
        <v/>
      </c>
      <c r="N183" s="44" t="str">
        <f aca="false">IF(B183="","",PROPER(TRIM(D183)))</f>
        <v/>
      </c>
      <c r="O183" s="44" t="str">
        <f aca="false">IF(B183="","",IF(OR(ISNUMBER(SEARCH("AL DIA",L183)),ISNUMBER(SEARCH("AL DIA",F183))),"Al día",IF(OR(ISNUMBER(SEARCH("QUIETO",L183)),ISNUMBER(SEARCH("QUIETO",F183)),ISNUMBER(SEARCH("ESPERANDO",L183)),ISNUMBER(SEARCH("ESPERANDO",F183))),"Sin respuesta / Inactivo",IF(OR(ISNUMBER(SEARCH("PENDIENTE",L183)),ISNUMBER(SEARCH("PENDIENTE",F183)),ISNUMBER(SEARCH("COMPROMISO",F183)),ISNUMBER(SEARCH("COMPROMISO",L183)),ISNUMBER(SEARCH("PROCESO",F183)),ISNUMBER(SEARCH("LLAMAR",F183)),ISNUMBER(SEARCH("ABONO",J183)),EXACT(L183,"P"),EXACT(F183,"P")),"Pendiente / Compromiso","Sin gestionar"))))</f>
        <v/>
      </c>
      <c r="P183" s="44" t="str">
        <f aca="false">IF(B183="","",IF(E183="","Sin definir",IF(ISNUMBER(SEARCH("ITIL",E183)),"ITIL",IF(ISNUMBER(SEARCH("ISO 27001",E183)),"ISO 27001",IF(ISNUMBER(SEARCH("ISO 42001",E183)),"ISO 42001",IF(ISNUMBER(SEARCH("ISO",E183)),"Otras ISO",IF(ISNUMBER(SEARCH("SCRUM",E183)),"SCRUM",IF(ISNUMBER(SEARCH("BRIDGE",E183)),"BRIDGE",IF(ISNUMBER(SEARCH("CDS",E183)),"CDS",IF(ISNUMBER(SEARCH("TOGAF",E183)),"TOGAF",IF(ISNUMBER(SEARCH("DPI",E183)),"DPI",IF(ISNUMBER(SEARCH("DITS",E183)),"DITS",IF(ISNUMBER(SEARCH("AGILE",E183)),"AGILE",IF(ISNUMBER(SEARCH("Ciberseguridad",E183)),"Ciberseguridad","Otros"))))))))))))))</f>
        <v/>
      </c>
      <c r="Q183" s="44" t="str">
        <f aca="false">IF(B183="","",IF(ISNUMBER(K183),IF(K183&lt;=3,"1-3 meses",IF(K183&lt;=6,"4-6 meses","+6 meses")),"Sin dato registrado"))</f>
        <v/>
      </c>
      <c r="R183" s="44" t="str">
        <f aca="false">IF(OR(B183="",M183=""),"",RANK(M183,$M$3:$M$306)+COUNTIF($M$3:M183,M183)-1)</f>
        <v/>
      </c>
    </row>
    <row r="184" customFormat="false" ht="15" hidden="true" customHeight="true" outlineLevel="0" collapsed="false">
      <c r="A184" s="49" t="n">
        <v>22</v>
      </c>
      <c r="C184" s="54"/>
      <c r="M184" s="44" t="str">
        <f aca="false">IF(B184="","",IF(ISNUMBER(I184),I184,IFERROR(VALUE(SUBSTITUTE(SUBSTITUTE(I184,"$",""),".","")),0)))</f>
        <v/>
      </c>
      <c r="N184" s="44" t="str">
        <f aca="false">IF(B184="","",PROPER(TRIM(D184)))</f>
        <v/>
      </c>
      <c r="O184" s="44" t="str">
        <f aca="false">IF(B184="","",IF(OR(ISNUMBER(SEARCH("AL DIA",L184)),ISNUMBER(SEARCH("AL DIA",F184))),"Al día",IF(OR(ISNUMBER(SEARCH("QUIETO",L184)),ISNUMBER(SEARCH("QUIETO",F184)),ISNUMBER(SEARCH("ESPERANDO",L184)),ISNUMBER(SEARCH("ESPERANDO",F184))),"Sin respuesta / Inactivo",IF(OR(ISNUMBER(SEARCH("PENDIENTE",L184)),ISNUMBER(SEARCH("PENDIENTE",F184)),ISNUMBER(SEARCH("COMPROMISO",F184)),ISNUMBER(SEARCH("COMPROMISO",L184)),ISNUMBER(SEARCH("PROCESO",F184)),ISNUMBER(SEARCH("LLAMAR",F184)),ISNUMBER(SEARCH("ABONO",J184)),EXACT(L184,"P"),EXACT(F184,"P")),"Pendiente / Compromiso","Sin gestionar"))))</f>
        <v/>
      </c>
      <c r="P184" s="44" t="str">
        <f aca="false">IF(B184="","",IF(E184="","Sin definir",IF(ISNUMBER(SEARCH("ITIL",E184)),"ITIL",IF(ISNUMBER(SEARCH("ISO 27001",E184)),"ISO 27001",IF(ISNUMBER(SEARCH("ISO 42001",E184)),"ISO 42001",IF(ISNUMBER(SEARCH("ISO",E184)),"Otras ISO",IF(ISNUMBER(SEARCH("SCRUM",E184)),"SCRUM",IF(ISNUMBER(SEARCH("BRIDGE",E184)),"BRIDGE",IF(ISNUMBER(SEARCH("CDS",E184)),"CDS",IF(ISNUMBER(SEARCH("TOGAF",E184)),"TOGAF",IF(ISNUMBER(SEARCH("DPI",E184)),"DPI",IF(ISNUMBER(SEARCH("DITS",E184)),"DITS",IF(ISNUMBER(SEARCH("AGILE",E184)),"AGILE",IF(ISNUMBER(SEARCH("Ciberseguridad",E184)),"Ciberseguridad","Otros"))))))))))))))</f>
        <v/>
      </c>
      <c r="Q184" s="44" t="str">
        <f aca="false">IF(B184="","",IF(ISNUMBER(K184),IF(K184&lt;=3,"1-3 meses",IF(K184&lt;=6,"4-6 meses","+6 meses")),"Sin dato registrado"))</f>
        <v/>
      </c>
      <c r="R184" s="44" t="str">
        <f aca="false">IF(OR(B184="",M184=""),"",RANK(M184,$M$3:$M$306)+COUNTIF($M$3:M184,M184)-1)</f>
        <v/>
      </c>
    </row>
    <row r="185" customFormat="false" ht="15" hidden="true" customHeight="true" outlineLevel="0" collapsed="false">
      <c r="A185" s="50" t="n">
        <v>22</v>
      </c>
      <c r="C185" s="54"/>
      <c r="M185" s="44" t="str">
        <f aca="false">IF(B185="","",IF(ISNUMBER(I185),I185,IFERROR(VALUE(SUBSTITUTE(SUBSTITUTE(I185,"$",""),".","")),0)))</f>
        <v/>
      </c>
      <c r="N185" s="44" t="str">
        <f aca="false">IF(B185="","",PROPER(TRIM(D185)))</f>
        <v/>
      </c>
      <c r="O185" s="44" t="str">
        <f aca="false">IF(B185="","",IF(OR(ISNUMBER(SEARCH("AL DIA",L185)),ISNUMBER(SEARCH("AL DIA",F185))),"Al día",IF(OR(ISNUMBER(SEARCH("QUIETO",L185)),ISNUMBER(SEARCH("QUIETO",F185)),ISNUMBER(SEARCH("ESPERANDO",L185)),ISNUMBER(SEARCH("ESPERANDO",F185))),"Sin respuesta / Inactivo",IF(OR(ISNUMBER(SEARCH("PENDIENTE",L185)),ISNUMBER(SEARCH("PENDIENTE",F185)),ISNUMBER(SEARCH("COMPROMISO",F185)),ISNUMBER(SEARCH("COMPROMISO",L185)),ISNUMBER(SEARCH("PROCESO",F185)),ISNUMBER(SEARCH("LLAMAR",F185)),ISNUMBER(SEARCH("ABONO",J185)),EXACT(L185,"P"),EXACT(F185,"P")),"Pendiente / Compromiso","Sin gestionar"))))</f>
        <v/>
      </c>
      <c r="P185" s="44" t="str">
        <f aca="false">IF(B185="","",IF(E185="","Sin definir",IF(ISNUMBER(SEARCH("ITIL",E185)),"ITIL",IF(ISNUMBER(SEARCH("ISO 27001",E185)),"ISO 27001",IF(ISNUMBER(SEARCH("ISO 42001",E185)),"ISO 42001",IF(ISNUMBER(SEARCH("ISO",E185)),"Otras ISO",IF(ISNUMBER(SEARCH("SCRUM",E185)),"SCRUM",IF(ISNUMBER(SEARCH("BRIDGE",E185)),"BRIDGE",IF(ISNUMBER(SEARCH("CDS",E185)),"CDS",IF(ISNUMBER(SEARCH("TOGAF",E185)),"TOGAF",IF(ISNUMBER(SEARCH("DPI",E185)),"DPI",IF(ISNUMBER(SEARCH("DITS",E185)),"DITS",IF(ISNUMBER(SEARCH("AGILE",E185)),"AGILE",IF(ISNUMBER(SEARCH("Ciberseguridad",E185)),"Ciberseguridad","Otros"))))))))))))))</f>
        <v/>
      </c>
      <c r="Q185" s="44" t="str">
        <f aca="false">IF(B185="","",IF(ISNUMBER(K185),IF(K185&lt;=3,"1-3 meses",IF(K185&lt;=6,"4-6 meses","+6 meses")),"Sin dato registrado"))</f>
        <v/>
      </c>
      <c r="R185" s="44" t="str">
        <f aca="false">IF(OR(B185="",M185=""),"",RANK(M185,$M$3:$M$306)+COUNTIF($M$3:M185,M185)-1)</f>
        <v/>
      </c>
    </row>
    <row r="186" customFormat="false" ht="15" hidden="true" customHeight="true" outlineLevel="0" collapsed="false">
      <c r="A186" s="49" t="n">
        <v>22</v>
      </c>
      <c r="C186" s="54"/>
      <c r="M186" s="44" t="str">
        <f aca="false">IF(B186="","",IF(ISNUMBER(I186),I186,IFERROR(VALUE(SUBSTITUTE(SUBSTITUTE(I186,"$",""),".","")),0)))</f>
        <v/>
      </c>
      <c r="N186" s="44" t="str">
        <f aca="false">IF(B186="","",PROPER(TRIM(D186)))</f>
        <v/>
      </c>
      <c r="O186" s="44" t="str">
        <f aca="false">IF(B186="","",IF(OR(ISNUMBER(SEARCH("AL DIA",L186)),ISNUMBER(SEARCH("AL DIA",F186))),"Al día",IF(OR(ISNUMBER(SEARCH("QUIETO",L186)),ISNUMBER(SEARCH("QUIETO",F186)),ISNUMBER(SEARCH("ESPERANDO",L186)),ISNUMBER(SEARCH("ESPERANDO",F186))),"Sin respuesta / Inactivo",IF(OR(ISNUMBER(SEARCH("PENDIENTE",L186)),ISNUMBER(SEARCH("PENDIENTE",F186)),ISNUMBER(SEARCH("COMPROMISO",F186)),ISNUMBER(SEARCH("COMPROMISO",L186)),ISNUMBER(SEARCH("PROCESO",F186)),ISNUMBER(SEARCH("LLAMAR",F186)),ISNUMBER(SEARCH("ABONO",J186)),EXACT(L186,"P"),EXACT(F186,"P")),"Pendiente / Compromiso","Sin gestionar"))))</f>
        <v/>
      </c>
      <c r="P186" s="44" t="str">
        <f aca="false">IF(B186="","",IF(E186="","Sin definir",IF(ISNUMBER(SEARCH("ITIL",E186)),"ITIL",IF(ISNUMBER(SEARCH("ISO 27001",E186)),"ISO 27001",IF(ISNUMBER(SEARCH("ISO 42001",E186)),"ISO 42001",IF(ISNUMBER(SEARCH("ISO",E186)),"Otras ISO",IF(ISNUMBER(SEARCH("SCRUM",E186)),"SCRUM",IF(ISNUMBER(SEARCH("BRIDGE",E186)),"BRIDGE",IF(ISNUMBER(SEARCH("CDS",E186)),"CDS",IF(ISNUMBER(SEARCH("TOGAF",E186)),"TOGAF",IF(ISNUMBER(SEARCH("DPI",E186)),"DPI",IF(ISNUMBER(SEARCH("DITS",E186)),"DITS",IF(ISNUMBER(SEARCH("AGILE",E186)),"AGILE",IF(ISNUMBER(SEARCH("Ciberseguridad",E186)),"Ciberseguridad","Otros"))))))))))))))</f>
        <v/>
      </c>
      <c r="Q186" s="44" t="str">
        <f aca="false">IF(B186="","",IF(ISNUMBER(K186),IF(K186&lt;=3,"1-3 meses",IF(K186&lt;=6,"4-6 meses","+6 meses")),"Sin dato registrado"))</f>
        <v/>
      </c>
      <c r="R186" s="44" t="str">
        <f aca="false">IF(OR(B186="",M186=""),"",RANK(M186,$M$3:$M$306)+COUNTIF($M$3:M186,M186)-1)</f>
        <v/>
      </c>
    </row>
    <row r="187" customFormat="false" ht="15" hidden="true" customHeight="true" outlineLevel="0" collapsed="false">
      <c r="A187" s="50" t="n">
        <v>22</v>
      </c>
      <c r="C187" s="54"/>
      <c r="M187" s="44" t="str">
        <f aca="false">IF(B187="","",IF(ISNUMBER(I187),I187,IFERROR(VALUE(SUBSTITUTE(SUBSTITUTE(I187,"$",""),".","")),0)))</f>
        <v/>
      </c>
      <c r="N187" s="44" t="str">
        <f aca="false">IF(B187="","",PROPER(TRIM(D187)))</f>
        <v/>
      </c>
      <c r="O187" s="44" t="str">
        <f aca="false">IF(B187="","",IF(OR(ISNUMBER(SEARCH("AL DIA",L187)),ISNUMBER(SEARCH("AL DIA",F187))),"Al día",IF(OR(ISNUMBER(SEARCH("QUIETO",L187)),ISNUMBER(SEARCH("QUIETO",F187)),ISNUMBER(SEARCH("ESPERANDO",L187)),ISNUMBER(SEARCH("ESPERANDO",F187))),"Sin respuesta / Inactivo",IF(OR(ISNUMBER(SEARCH("PENDIENTE",L187)),ISNUMBER(SEARCH("PENDIENTE",F187)),ISNUMBER(SEARCH("COMPROMISO",F187)),ISNUMBER(SEARCH("COMPROMISO",L187)),ISNUMBER(SEARCH("PROCESO",F187)),ISNUMBER(SEARCH("LLAMAR",F187)),ISNUMBER(SEARCH("ABONO",J187)),EXACT(L187,"P"),EXACT(F187,"P")),"Pendiente / Compromiso","Sin gestionar"))))</f>
        <v/>
      </c>
      <c r="P187" s="44" t="str">
        <f aca="false">IF(B187="","",IF(E187="","Sin definir",IF(ISNUMBER(SEARCH("ITIL",E187)),"ITIL",IF(ISNUMBER(SEARCH("ISO 27001",E187)),"ISO 27001",IF(ISNUMBER(SEARCH("ISO 42001",E187)),"ISO 42001",IF(ISNUMBER(SEARCH("ISO",E187)),"Otras ISO",IF(ISNUMBER(SEARCH("SCRUM",E187)),"SCRUM",IF(ISNUMBER(SEARCH("BRIDGE",E187)),"BRIDGE",IF(ISNUMBER(SEARCH("CDS",E187)),"CDS",IF(ISNUMBER(SEARCH("TOGAF",E187)),"TOGAF",IF(ISNUMBER(SEARCH("DPI",E187)),"DPI",IF(ISNUMBER(SEARCH("DITS",E187)),"DITS",IF(ISNUMBER(SEARCH("AGILE",E187)),"AGILE",IF(ISNUMBER(SEARCH("Ciberseguridad",E187)),"Ciberseguridad","Otros"))))))))))))))</f>
        <v/>
      </c>
      <c r="Q187" s="44" t="str">
        <f aca="false">IF(B187="","",IF(ISNUMBER(K187),IF(K187&lt;=3,"1-3 meses",IF(K187&lt;=6,"4-6 meses","+6 meses")),"Sin dato registrado"))</f>
        <v/>
      </c>
      <c r="R187" s="44" t="str">
        <f aca="false">IF(OR(B187="",M187=""),"",RANK(M187,$M$3:$M$306)+COUNTIF($M$3:M187,M187)-1)</f>
        <v/>
      </c>
    </row>
    <row r="188" customFormat="false" ht="15" hidden="true" customHeight="true" outlineLevel="0" collapsed="false">
      <c r="A188" s="49" t="n">
        <v>22</v>
      </c>
      <c r="C188" s="54"/>
      <c r="M188" s="44" t="str">
        <f aca="false">IF(B188="","",IF(ISNUMBER(I188),I188,IFERROR(VALUE(SUBSTITUTE(SUBSTITUTE(I188,"$",""),".","")),0)))</f>
        <v/>
      </c>
      <c r="N188" s="44" t="str">
        <f aca="false">IF(B188="","",PROPER(TRIM(D188)))</f>
        <v/>
      </c>
      <c r="O188" s="44" t="str">
        <f aca="false">IF(B188="","",IF(OR(ISNUMBER(SEARCH("AL DIA",L188)),ISNUMBER(SEARCH("AL DIA",F188))),"Al día",IF(OR(ISNUMBER(SEARCH("QUIETO",L188)),ISNUMBER(SEARCH("QUIETO",F188)),ISNUMBER(SEARCH("ESPERANDO",L188)),ISNUMBER(SEARCH("ESPERANDO",F188))),"Sin respuesta / Inactivo",IF(OR(ISNUMBER(SEARCH("PENDIENTE",L188)),ISNUMBER(SEARCH("PENDIENTE",F188)),ISNUMBER(SEARCH("COMPROMISO",F188)),ISNUMBER(SEARCH("COMPROMISO",L188)),ISNUMBER(SEARCH("PROCESO",F188)),ISNUMBER(SEARCH("LLAMAR",F188)),ISNUMBER(SEARCH("ABONO",J188)),EXACT(L188,"P"),EXACT(F188,"P")),"Pendiente / Compromiso","Sin gestionar"))))</f>
        <v/>
      </c>
      <c r="P188" s="44" t="str">
        <f aca="false">IF(B188="","",IF(E188="","Sin definir",IF(ISNUMBER(SEARCH("ITIL",E188)),"ITIL",IF(ISNUMBER(SEARCH("ISO 27001",E188)),"ISO 27001",IF(ISNUMBER(SEARCH("ISO 42001",E188)),"ISO 42001",IF(ISNUMBER(SEARCH("ISO",E188)),"Otras ISO",IF(ISNUMBER(SEARCH("SCRUM",E188)),"SCRUM",IF(ISNUMBER(SEARCH("BRIDGE",E188)),"BRIDGE",IF(ISNUMBER(SEARCH("CDS",E188)),"CDS",IF(ISNUMBER(SEARCH("TOGAF",E188)),"TOGAF",IF(ISNUMBER(SEARCH("DPI",E188)),"DPI",IF(ISNUMBER(SEARCH("DITS",E188)),"DITS",IF(ISNUMBER(SEARCH("AGILE",E188)),"AGILE",IF(ISNUMBER(SEARCH("Ciberseguridad",E188)),"Ciberseguridad","Otros"))))))))))))))</f>
        <v/>
      </c>
      <c r="Q188" s="44" t="str">
        <f aca="false">IF(B188="","",IF(ISNUMBER(K188),IF(K188&lt;=3,"1-3 meses",IF(K188&lt;=6,"4-6 meses","+6 meses")),"Sin dato registrado"))</f>
        <v/>
      </c>
      <c r="R188" s="44" t="str">
        <f aca="false">IF(OR(B188="",M188=""),"",RANK(M188,$M$3:$M$306)+COUNTIF($M$3:M188,M188)-1)</f>
        <v/>
      </c>
    </row>
    <row r="189" customFormat="false" ht="15" hidden="true" customHeight="true" outlineLevel="0" collapsed="false">
      <c r="A189" s="50" t="n">
        <v>22</v>
      </c>
      <c r="C189" s="54"/>
      <c r="M189" s="44" t="str">
        <f aca="false">IF(B189="","",IF(ISNUMBER(I189),I189,IFERROR(VALUE(SUBSTITUTE(SUBSTITUTE(I189,"$",""),".","")),0)))</f>
        <v/>
      </c>
      <c r="N189" s="44" t="str">
        <f aca="false">IF(B189="","",PROPER(TRIM(D189)))</f>
        <v/>
      </c>
      <c r="O189" s="44" t="str">
        <f aca="false">IF(B189="","",IF(OR(ISNUMBER(SEARCH("AL DIA",L189)),ISNUMBER(SEARCH("AL DIA",F189))),"Al día",IF(OR(ISNUMBER(SEARCH("QUIETO",L189)),ISNUMBER(SEARCH("QUIETO",F189)),ISNUMBER(SEARCH("ESPERANDO",L189)),ISNUMBER(SEARCH("ESPERANDO",F189))),"Sin respuesta / Inactivo",IF(OR(ISNUMBER(SEARCH("PENDIENTE",L189)),ISNUMBER(SEARCH("PENDIENTE",F189)),ISNUMBER(SEARCH("COMPROMISO",F189)),ISNUMBER(SEARCH("COMPROMISO",L189)),ISNUMBER(SEARCH("PROCESO",F189)),ISNUMBER(SEARCH("LLAMAR",F189)),ISNUMBER(SEARCH("ABONO",J189)),EXACT(L189,"P"),EXACT(F189,"P")),"Pendiente / Compromiso","Sin gestionar"))))</f>
        <v/>
      </c>
      <c r="P189" s="44" t="str">
        <f aca="false">IF(B189="","",IF(E189="","Sin definir",IF(ISNUMBER(SEARCH("ITIL",E189)),"ITIL",IF(ISNUMBER(SEARCH("ISO 27001",E189)),"ISO 27001",IF(ISNUMBER(SEARCH("ISO 42001",E189)),"ISO 42001",IF(ISNUMBER(SEARCH("ISO",E189)),"Otras ISO",IF(ISNUMBER(SEARCH("SCRUM",E189)),"SCRUM",IF(ISNUMBER(SEARCH("BRIDGE",E189)),"BRIDGE",IF(ISNUMBER(SEARCH("CDS",E189)),"CDS",IF(ISNUMBER(SEARCH("TOGAF",E189)),"TOGAF",IF(ISNUMBER(SEARCH("DPI",E189)),"DPI",IF(ISNUMBER(SEARCH("DITS",E189)),"DITS",IF(ISNUMBER(SEARCH("AGILE",E189)),"AGILE",IF(ISNUMBER(SEARCH("Ciberseguridad",E189)),"Ciberseguridad","Otros"))))))))))))))</f>
        <v/>
      </c>
      <c r="Q189" s="44" t="str">
        <f aca="false">IF(B189="","",IF(ISNUMBER(K189),IF(K189&lt;=3,"1-3 meses",IF(K189&lt;=6,"4-6 meses","+6 meses")),"Sin dato registrado"))</f>
        <v/>
      </c>
      <c r="R189" s="44" t="str">
        <f aca="false">IF(OR(B189="",M189=""),"",RANK(M189,$M$3:$M$306)+COUNTIF($M$3:M189,M189)-1)</f>
        <v/>
      </c>
    </row>
    <row r="190" customFormat="false" ht="15" hidden="true" customHeight="true" outlineLevel="0" collapsed="false">
      <c r="A190" s="49" t="n">
        <v>22</v>
      </c>
      <c r="C190" s="54"/>
      <c r="M190" s="44" t="str">
        <f aca="false">IF(B190="","",IF(ISNUMBER(I190),I190,IFERROR(VALUE(SUBSTITUTE(SUBSTITUTE(I190,"$",""),".","")),0)))</f>
        <v/>
      </c>
      <c r="N190" s="44" t="str">
        <f aca="false">IF(B190="","",PROPER(TRIM(D190)))</f>
        <v/>
      </c>
      <c r="O190" s="44" t="str">
        <f aca="false">IF(B190="","",IF(OR(ISNUMBER(SEARCH("AL DIA",L190)),ISNUMBER(SEARCH("AL DIA",F190))),"Al día",IF(OR(ISNUMBER(SEARCH("QUIETO",L190)),ISNUMBER(SEARCH("QUIETO",F190)),ISNUMBER(SEARCH("ESPERANDO",L190)),ISNUMBER(SEARCH("ESPERANDO",F190))),"Sin respuesta / Inactivo",IF(OR(ISNUMBER(SEARCH("PENDIENTE",L190)),ISNUMBER(SEARCH("PENDIENTE",F190)),ISNUMBER(SEARCH("COMPROMISO",F190)),ISNUMBER(SEARCH("COMPROMISO",L190)),ISNUMBER(SEARCH("PROCESO",F190)),ISNUMBER(SEARCH("LLAMAR",F190)),ISNUMBER(SEARCH("ABONO",J190)),EXACT(L190,"P"),EXACT(F190,"P")),"Pendiente / Compromiso","Sin gestionar"))))</f>
        <v/>
      </c>
      <c r="P190" s="44" t="str">
        <f aca="false">IF(B190="","",IF(E190="","Sin definir",IF(ISNUMBER(SEARCH("ITIL",E190)),"ITIL",IF(ISNUMBER(SEARCH("ISO 27001",E190)),"ISO 27001",IF(ISNUMBER(SEARCH("ISO 42001",E190)),"ISO 42001",IF(ISNUMBER(SEARCH("ISO",E190)),"Otras ISO",IF(ISNUMBER(SEARCH("SCRUM",E190)),"SCRUM",IF(ISNUMBER(SEARCH("BRIDGE",E190)),"BRIDGE",IF(ISNUMBER(SEARCH("CDS",E190)),"CDS",IF(ISNUMBER(SEARCH("TOGAF",E190)),"TOGAF",IF(ISNUMBER(SEARCH("DPI",E190)),"DPI",IF(ISNUMBER(SEARCH("DITS",E190)),"DITS",IF(ISNUMBER(SEARCH("AGILE",E190)),"AGILE",IF(ISNUMBER(SEARCH("Ciberseguridad",E190)),"Ciberseguridad","Otros"))))))))))))))</f>
        <v/>
      </c>
      <c r="Q190" s="44" t="str">
        <f aca="false">IF(B190="","",IF(ISNUMBER(K190),IF(K190&lt;=3,"1-3 meses",IF(K190&lt;=6,"4-6 meses","+6 meses")),"Sin dato registrado"))</f>
        <v/>
      </c>
      <c r="R190" s="44" t="str">
        <f aca="false">IF(OR(B190="",M190=""),"",RANK(M190,$M$3:$M$306)+COUNTIF($M$3:M190,M190)-1)</f>
        <v/>
      </c>
    </row>
    <row r="191" customFormat="false" ht="15" hidden="true" customHeight="true" outlineLevel="0" collapsed="false">
      <c r="A191" s="50" t="n">
        <v>22</v>
      </c>
      <c r="C191" s="54"/>
      <c r="M191" s="44" t="str">
        <f aca="false">IF(B191="","",IF(ISNUMBER(I191),I191,IFERROR(VALUE(SUBSTITUTE(SUBSTITUTE(I191,"$",""),".","")),0)))</f>
        <v/>
      </c>
      <c r="N191" s="44" t="str">
        <f aca="false">IF(B191="","",PROPER(TRIM(D191)))</f>
        <v/>
      </c>
      <c r="O191" s="44" t="str">
        <f aca="false">IF(B191="","",IF(OR(ISNUMBER(SEARCH("AL DIA",L191)),ISNUMBER(SEARCH("AL DIA",F191))),"Al día",IF(OR(ISNUMBER(SEARCH("QUIETO",L191)),ISNUMBER(SEARCH("QUIETO",F191)),ISNUMBER(SEARCH("ESPERANDO",L191)),ISNUMBER(SEARCH("ESPERANDO",F191))),"Sin respuesta / Inactivo",IF(OR(ISNUMBER(SEARCH("PENDIENTE",L191)),ISNUMBER(SEARCH("PENDIENTE",F191)),ISNUMBER(SEARCH("COMPROMISO",F191)),ISNUMBER(SEARCH("COMPROMISO",L191)),ISNUMBER(SEARCH("PROCESO",F191)),ISNUMBER(SEARCH("LLAMAR",F191)),ISNUMBER(SEARCH("ABONO",J191)),EXACT(L191,"P"),EXACT(F191,"P")),"Pendiente / Compromiso","Sin gestionar"))))</f>
        <v/>
      </c>
      <c r="P191" s="44" t="str">
        <f aca="false">IF(B191="","",IF(E191="","Sin definir",IF(ISNUMBER(SEARCH("ITIL",E191)),"ITIL",IF(ISNUMBER(SEARCH("ISO 27001",E191)),"ISO 27001",IF(ISNUMBER(SEARCH("ISO 42001",E191)),"ISO 42001",IF(ISNUMBER(SEARCH("ISO",E191)),"Otras ISO",IF(ISNUMBER(SEARCH("SCRUM",E191)),"SCRUM",IF(ISNUMBER(SEARCH("BRIDGE",E191)),"BRIDGE",IF(ISNUMBER(SEARCH("CDS",E191)),"CDS",IF(ISNUMBER(SEARCH("TOGAF",E191)),"TOGAF",IF(ISNUMBER(SEARCH("DPI",E191)),"DPI",IF(ISNUMBER(SEARCH("DITS",E191)),"DITS",IF(ISNUMBER(SEARCH("AGILE",E191)),"AGILE",IF(ISNUMBER(SEARCH("Ciberseguridad",E191)),"Ciberseguridad","Otros"))))))))))))))</f>
        <v/>
      </c>
      <c r="Q191" s="44" t="str">
        <f aca="false">IF(B191="","",IF(ISNUMBER(K191),IF(K191&lt;=3,"1-3 meses",IF(K191&lt;=6,"4-6 meses","+6 meses")),"Sin dato registrado"))</f>
        <v/>
      </c>
      <c r="R191" s="44" t="str">
        <f aca="false">IF(OR(B191="",M191=""),"",RANK(M191,$M$3:$M$306)+COUNTIF($M$3:M191,M191)-1)</f>
        <v/>
      </c>
    </row>
    <row r="192" customFormat="false" ht="15" hidden="true" customHeight="true" outlineLevel="0" collapsed="false">
      <c r="A192" s="49" t="n">
        <v>22</v>
      </c>
      <c r="C192" s="54"/>
      <c r="M192" s="44" t="str">
        <f aca="false">IF(B192="","",IF(ISNUMBER(I192),I192,IFERROR(VALUE(SUBSTITUTE(SUBSTITUTE(I192,"$",""),".","")),0)))</f>
        <v/>
      </c>
      <c r="N192" s="44" t="str">
        <f aca="false">IF(B192="","",PROPER(TRIM(D192)))</f>
        <v/>
      </c>
      <c r="O192" s="44" t="str">
        <f aca="false">IF(B192="","",IF(OR(ISNUMBER(SEARCH("AL DIA",L192)),ISNUMBER(SEARCH("AL DIA",F192))),"Al día",IF(OR(ISNUMBER(SEARCH("QUIETO",L192)),ISNUMBER(SEARCH("QUIETO",F192)),ISNUMBER(SEARCH("ESPERANDO",L192)),ISNUMBER(SEARCH("ESPERANDO",F192))),"Sin respuesta / Inactivo",IF(OR(ISNUMBER(SEARCH("PENDIENTE",L192)),ISNUMBER(SEARCH("PENDIENTE",F192)),ISNUMBER(SEARCH("COMPROMISO",F192)),ISNUMBER(SEARCH("COMPROMISO",L192)),ISNUMBER(SEARCH("PROCESO",F192)),ISNUMBER(SEARCH("LLAMAR",F192)),ISNUMBER(SEARCH("ABONO",J192)),EXACT(L192,"P"),EXACT(F192,"P")),"Pendiente / Compromiso","Sin gestionar"))))</f>
        <v/>
      </c>
      <c r="P192" s="44" t="str">
        <f aca="false">IF(B192="","",IF(E192="","Sin definir",IF(ISNUMBER(SEARCH("ITIL",E192)),"ITIL",IF(ISNUMBER(SEARCH("ISO 27001",E192)),"ISO 27001",IF(ISNUMBER(SEARCH("ISO 42001",E192)),"ISO 42001",IF(ISNUMBER(SEARCH("ISO",E192)),"Otras ISO",IF(ISNUMBER(SEARCH("SCRUM",E192)),"SCRUM",IF(ISNUMBER(SEARCH("BRIDGE",E192)),"BRIDGE",IF(ISNUMBER(SEARCH("CDS",E192)),"CDS",IF(ISNUMBER(SEARCH("TOGAF",E192)),"TOGAF",IF(ISNUMBER(SEARCH("DPI",E192)),"DPI",IF(ISNUMBER(SEARCH("DITS",E192)),"DITS",IF(ISNUMBER(SEARCH("AGILE",E192)),"AGILE",IF(ISNUMBER(SEARCH("Ciberseguridad",E192)),"Ciberseguridad","Otros"))))))))))))))</f>
        <v/>
      </c>
      <c r="Q192" s="44" t="str">
        <f aca="false">IF(B192="","",IF(ISNUMBER(K192),IF(K192&lt;=3,"1-3 meses",IF(K192&lt;=6,"4-6 meses","+6 meses")),"Sin dato registrado"))</f>
        <v/>
      </c>
      <c r="R192" s="44" t="str">
        <f aca="false">IF(OR(B192="",M192=""),"",RANK(M192,$M$3:$M$306)+COUNTIF($M$3:M192,M192)-1)</f>
        <v/>
      </c>
    </row>
    <row r="193" customFormat="false" ht="15" hidden="true" customHeight="true" outlineLevel="0" collapsed="false">
      <c r="A193" s="50" t="n">
        <v>22</v>
      </c>
      <c r="C193" s="54"/>
      <c r="M193" s="44" t="str">
        <f aca="false">IF(B193="","",IF(ISNUMBER(I193),I193,IFERROR(VALUE(SUBSTITUTE(SUBSTITUTE(I193,"$",""),".","")),0)))</f>
        <v/>
      </c>
      <c r="N193" s="44" t="str">
        <f aca="false">IF(B193="","",PROPER(TRIM(D193)))</f>
        <v/>
      </c>
      <c r="O193" s="44" t="str">
        <f aca="false">IF(B193="","",IF(OR(ISNUMBER(SEARCH("AL DIA",L193)),ISNUMBER(SEARCH("AL DIA",F193))),"Al día",IF(OR(ISNUMBER(SEARCH("QUIETO",L193)),ISNUMBER(SEARCH("QUIETO",F193)),ISNUMBER(SEARCH("ESPERANDO",L193)),ISNUMBER(SEARCH("ESPERANDO",F193))),"Sin respuesta / Inactivo",IF(OR(ISNUMBER(SEARCH("PENDIENTE",L193)),ISNUMBER(SEARCH("PENDIENTE",F193)),ISNUMBER(SEARCH("COMPROMISO",F193)),ISNUMBER(SEARCH("COMPROMISO",L193)),ISNUMBER(SEARCH("PROCESO",F193)),ISNUMBER(SEARCH("LLAMAR",F193)),ISNUMBER(SEARCH("ABONO",J193)),EXACT(L193,"P"),EXACT(F193,"P")),"Pendiente / Compromiso","Sin gestionar"))))</f>
        <v/>
      </c>
      <c r="P193" s="44" t="str">
        <f aca="false">IF(B193="","",IF(E193="","Sin definir",IF(ISNUMBER(SEARCH("ITIL",E193)),"ITIL",IF(ISNUMBER(SEARCH("ISO 27001",E193)),"ISO 27001",IF(ISNUMBER(SEARCH("ISO 42001",E193)),"ISO 42001",IF(ISNUMBER(SEARCH("ISO",E193)),"Otras ISO",IF(ISNUMBER(SEARCH("SCRUM",E193)),"SCRUM",IF(ISNUMBER(SEARCH("BRIDGE",E193)),"BRIDGE",IF(ISNUMBER(SEARCH("CDS",E193)),"CDS",IF(ISNUMBER(SEARCH("TOGAF",E193)),"TOGAF",IF(ISNUMBER(SEARCH("DPI",E193)),"DPI",IF(ISNUMBER(SEARCH("DITS",E193)),"DITS",IF(ISNUMBER(SEARCH("AGILE",E193)),"AGILE",IF(ISNUMBER(SEARCH("Ciberseguridad",E193)),"Ciberseguridad","Otros"))))))))))))))</f>
        <v/>
      </c>
      <c r="Q193" s="44" t="str">
        <f aca="false">IF(B193="","",IF(ISNUMBER(K193),IF(K193&lt;=3,"1-3 meses",IF(K193&lt;=6,"4-6 meses","+6 meses")),"Sin dato registrado"))</f>
        <v/>
      </c>
      <c r="R193" s="44" t="str">
        <f aca="false">IF(OR(B193="",M193=""),"",RANK(M193,$M$3:$M$306)+COUNTIF($M$3:M193,M193)-1)</f>
        <v/>
      </c>
    </row>
    <row r="194" customFormat="false" ht="15" hidden="true" customHeight="true" outlineLevel="0" collapsed="false">
      <c r="A194" s="49" t="n">
        <v>22</v>
      </c>
      <c r="C194" s="54"/>
      <c r="M194" s="44" t="str">
        <f aca="false">IF(B194="","",IF(ISNUMBER(I194),I194,IFERROR(VALUE(SUBSTITUTE(SUBSTITUTE(I194,"$",""),".","")),0)))</f>
        <v/>
      </c>
      <c r="N194" s="44" t="str">
        <f aca="false">IF(B194="","",PROPER(TRIM(D194)))</f>
        <v/>
      </c>
      <c r="O194" s="44" t="str">
        <f aca="false">IF(B194="","",IF(OR(ISNUMBER(SEARCH("AL DIA",L194)),ISNUMBER(SEARCH("AL DIA",F194))),"Al día",IF(OR(ISNUMBER(SEARCH("QUIETO",L194)),ISNUMBER(SEARCH("QUIETO",F194)),ISNUMBER(SEARCH("ESPERANDO",L194)),ISNUMBER(SEARCH("ESPERANDO",F194))),"Sin respuesta / Inactivo",IF(OR(ISNUMBER(SEARCH("PENDIENTE",L194)),ISNUMBER(SEARCH("PENDIENTE",F194)),ISNUMBER(SEARCH("COMPROMISO",F194)),ISNUMBER(SEARCH("COMPROMISO",L194)),ISNUMBER(SEARCH("PROCESO",F194)),ISNUMBER(SEARCH("LLAMAR",F194)),ISNUMBER(SEARCH("ABONO",J194)),EXACT(L194,"P"),EXACT(F194,"P")),"Pendiente / Compromiso","Sin gestionar"))))</f>
        <v/>
      </c>
      <c r="P194" s="44" t="str">
        <f aca="false">IF(B194="","",IF(E194="","Sin definir",IF(ISNUMBER(SEARCH("ITIL",E194)),"ITIL",IF(ISNUMBER(SEARCH("ISO 27001",E194)),"ISO 27001",IF(ISNUMBER(SEARCH("ISO 42001",E194)),"ISO 42001",IF(ISNUMBER(SEARCH("ISO",E194)),"Otras ISO",IF(ISNUMBER(SEARCH("SCRUM",E194)),"SCRUM",IF(ISNUMBER(SEARCH("BRIDGE",E194)),"BRIDGE",IF(ISNUMBER(SEARCH("CDS",E194)),"CDS",IF(ISNUMBER(SEARCH("TOGAF",E194)),"TOGAF",IF(ISNUMBER(SEARCH("DPI",E194)),"DPI",IF(ISNUMBER(SEARCH("DITS",E194)),"DITS",IF(ISNUMBER(SEARCH("AGILE",E194)),"AGILE",IF(ISNUMBER(SEARCH("Ciberseguridad",E194)),"Ciberseguridad","Otros"))))))))))))))</f>
        <v/>
      </c>
      <c r="Q194" s="44" t="str">
        <f aca="false">IF(B194="","",IF(ISNUMBER(K194),IF(K194&lt;=3,"1-3 meses",IF(K194&lt;=6,"4-6 meses","+6 meses")),"Sin dato registrado"))</f>
        <v/>
      </c>
      <c r="R194" s="44" t="str">
        <f aca="false">IF(OR(B194="",M194=""),"",RANK(M194,$M$3:$M$306)+COUNTIF($M$3:M194,M194)-1)</f>
        <v/>
      </c>
    </row>
    <row r="195" customFormat="false" ht="15" hidden="true" customHeight="true" outlineLevel="0" collapsed="false">
      <c r="A195" s="50" t="n">
        <v>22</v>
      </c>
      <c r="C195" s="54"/>
      <c r="M195" s="44" t="str">
        <f aca="false">IF(B195="","",IF(ISNUMBER(I195),I195,IFERROR(VALUE(SUBSTITUTE(SUBSTITUTE(I195,"$",""),".","")),0)))</f>
        <v/>
      </c>
      <c r="N195" s="44" t="str">
        <f aca="false">IF(B195="","",PROPER(TRIM(D195)))</f>
        <v/>
      </c>
      <c r="O195" s="44" t="str">
        <f aca="false">IF(B195="","",IF(OR(ISNUMBER(SEARCH("AL DIA",L195)),ISNUMBER(SEARCH("AL DIA",F195))),"Al día",IF(OR(ISNUMBER(SEARCH("QUIETO",L195)),ISNUMBER(SEARCH("QUIETO",F195)),ISNUMBER(SEARCH("ESPERANDO",L195)),ISNUMBER(SEARCH("ESPERANDO",F195))),"Sin respuesta / Inactivo",IF(OR(ISNUMBER(SEARCH("PENDIENTE",L195)),ISNUMBER(SEARCH("PENDIENTE",F195)),ISNUMBER(SEARCH("COMPROMISO",F195)),ISNUMBER(SEARCH("COMPROMISO",L195)),ISNUMBER(SEARCH("PROCESO",F195)),ISNUMBER(SEARCH("LLAMAR",F195)),ISNUMBER(SEARCH("ABONO",J195)),EXACT(L195,"P"),EXACT(F195,"P")),"Pendiente / Compromiso","Sin gestionar"))))</f>
        <v/>
      </c>
      <c r="P195" s="44" t="str">
        <f aca="false">IF(B195="","",IF(E195="","Sin definir",IF(ISNUMBER(SEARCH("ITIL",E195)),"ITIL",IF(ISNUMBER(SEARCH("ISO 27001",E195)),"ISO 27001",IF(ISNUMBER(SEARCH("ISO 42001",E195)),"ISO 42001",IF(ISNUMBER(SEARCH("ISO",E195)),"Otras ISO",IF(ISNUMBER(SEARCH("SCRUM",E195)),"SCRUM",IF(ISNUMBER(SEARCH("BRIDGE",E195)),"BRIDGE",IF(ISNUMBER(SEARCH("CDS",E195)),"CDS",IF(ISNUMBER(SEARCH("TOGAF",E195)),"TOGAF",IF(ISNUMBER(SEARCH("DPI",E195)),"DPI",IF(ISNUMBER(SEARCH("DITS",E195)),"DITS",IF(ISNUMBER(SEARCH("AGILE",E195)),"AGILE",IF(ISNUMBER(SEARCH("Ciberseguridad",E195)),"Ciberseguridad","Otros"))))))))))))))</f>
        <v/>
      </c>
      <c r="Q195" s="44" t="str">
        <f aca="false">IF(B195="","",IF(ISNUMBER(K195),IF(K195&lt;=3,"1-3 meses",IF(K195&lt;=6,"4-6 meses","+6 meses")),"Sin dato registrado"))</f>
        <v/>
      </c>
      <c r="R195" s="44" t="str">
        <f aca="false">IF(OR(B195="",M195=""),"",RANK(M195,$M$3:$M$306)+COUNTIF($M$3:M195,M195)-1)</f>
        <v/>
      </c>
    </row>
    <row r="196" customFormat="false" ht="15" hidden="true" customHeight="true" outlineLevel="0" collapsed="false">
      <c r="A196" s="49" t="n">
        <v>22</v>
      </c>
      <c r="C196" s="54"/>
      <c r="M196" s="44" t="str">
        <f aca="false">IF(B196="","",IF(ISNUMBER(I196),I196,IFERROR(VALUE(SUBSTITUTE(SUBSTITUTE(I196,"$",""),".","")),0)))</f>
        <v/>
      </c>
      <c r="N196" s="44" t="str">
        <f aca="false">IF(B196="","",PROPER(TRIM(D196)))</f>
        <v/>
      </c>
      <c r="O196" s="44" t="str">
        <f aca="false">IF(B196="","",IF(OR(ISNUMBER(SEARCH("AL DIA",L196)),ISNUMBER(SEARCH("AL DIA",F196))),"Al día",IF(OR(ISNUMBER(SEARCH("QUIETO",L196)),ISNUMBER(SEARCH("QUIETO",F196)),ISNUMBER(SEARCH("ESPERANDO",L196)),ISNUMBER(SEARCH("ESPERANDO",F196))),"Sin respuesta / Inactivo",IF(OR(ISNUMBER(SEARCH("PENDIENTE",L196)),ISNUMBER(SEARCH("PENDIENTE",F196)),ISNUMBER(SEARCH("COMPROMISO",F196)),ISNUMBER(SEARCH("COMPROMISO",L196)),ISNUMBER(SEARCH("PROCESO",F196)),ISNUMBER(SEARCH("LLAMAR",F196)),ISNUMBER(SEARCH("ABONO",J196)),EXACT(L196,"P"),EXACT(F196,"P")),"Pendiente / Compromiso","Sin gestionar"))))</f>
        <v/>
      </c>
      <c r="P196" s="44" t="str">
        <f aca="false">IF(B196="","",IF(E196="","Sin definir",IF(ISNUMBER(SEARCH("ITIL",E196)),"ITIL",IF(ISNUMBER(SEARCH("ISO 27001",E196)),"ISO 27001",IF(ISNUMBER(SEARCH("ISO 42001",E196)),"ISO 42001",IF(ISNUMBER(SEARCH("ISO",E196)),"Otras ISO",IF(ISNUMBER(SEARCH("SCRUM",E196)),"SCRUM",IF(ISNUMBER(SEARCH("BRIDGE",E196)),"BRIDGE",IF(ISNUMBER(SEARCH("CDS",E196)),"CDS",IF(ISNUMBER(SEARCH("TOGAF",E196)),"TOGAF",IF(ISNUMBER(SEARCH("DPI",E196)),"DPI",IF(ISNUMBER(SEARCH("DITS",E196)),"DITS",IF(ISNUMBER(SEARCH("AGILE",E196)),"AGILE",IF(ISNUMBER(SEARCH("Ciberseguridad",E196)),"Ciberseguridad","Otros"))))))))))))))</f>
        <v/>
      </c>
      <c r="Q196" s="44" t="str">
        <f aca="false">IF(B196="","",IF(ISNUMBER(K196),IF(K196&lt;=3,"1-3 meses",IF(K196&lt;=6,"4-6 meses","+6 meses")),"Sin dato registrado"))</f>
        <v/>
      </c>
      <c r="R196" s="44" t="str">
        <f aca="false">IF(OR(B196="",M196=""),"",RANK(M196,$M$3:$M$306)+COUNTIF($M$3:M196,M196)-1)</f>
        <v/>
      </c>
    </row>
    <row r="197" customFormat="false" ht="15" hidden="true" customHeight="true" outlineLevel="0" collapsed="false">
      <c r="A197" s="50" t="n">
        <v>22</v>
      </c>
      <c r="C197" s="54"/>
      <c r="M197" s="44" t="str">
        <f aca="false">IF(B197="","",IF(ISNUMBER(I197),I197,IFERROR(VALUE(SUBSTITUTE(SUBSTITUTE(I197,"$",""),".","")),0)))</f>
        <v/>
      </c>
      <c r="N197" s="44" t="str">
        <f aca="false">IF(B197="","",PROPER(TRIM(D197)))</f>
        <v/>
      </c>
      <c r="O197" s="44" t="str">
        <f aca="false">IF(B197="","",IF(OR(ISNUMBER(SEARCH("AL DIA",L197)),ISNUMBER(SEARCH("AL DIA",F197))),"Al día",IF(OR(ISNUMBER(SEARCH("QUIETO",L197)),ISNUMBER(SEARCH("QUIETO",F197)),ISNUMBER(SEARCH("ESPERANDO",L197)),ISNUMBER(SEARCH("ESPERANDO",F197))),"Sin respuesta / Inactivo",IF(OR(ISNUMBER(SEARCH("PENDIENTE",L197)),ISNUMBER(SEARCH("PENDIENTE",F197)),ISNUMBER(SEARCH("COMPROMISO",F197)),ISNUMBER(SEARCH("COMPROMISO",L197)),ISNUMBER(SEARCH("PROCESO",F197)),ISNUMBER(SEARCH("LLAMAR",F197)),ISNUMBER(SEARCH("ABONO",J197)),EXACT(L197,"P"),EXACT(F197,"P")),"Pendiente / Compromiso","Sin gestionar"))))</f>
        <v/>
      </c>
      <c r="P197" s="44" t="str">
        <f aca="false">IF(B197="","",IF(E197="","Sin definir",IF(ISNUMBER(SEARCH("ITIL",E197)),"ITIL",IF(ISNUMBER(SEARCH("ISO 27001",E197)),"ISO 27001",IF(ISNUMBER(SEARCH("ISO 42001",E197)),"ISO 42001",IF(ISNUMBER(SEARCH("ISO",E197)),"Otras ISO",IF(ISNUMBER(SEARCH("SCRUM",E197)),"SCRUM",IF(ISNUMBER(SEARCH("BRIDGE",E197)),"BRIDGE",IF(ISNUMBER(SEARCH("CDS",E197)),"CDS",IF(ISNUMBER(SEARCH("TOGAF",E197)),"TOGAF",IF(ISNUMBER(SEARCH("DPI",E197)),"DPI",IF(ISNUMBER(SEARCH("DITS",E197)),"DITS",IF(ISNUMBER(SEARCH("AGILE",E197)),"AGILE",IF(ISNUMBER(SEARCH("Ciberseguridad",E197)),"Ciberseguridad","Otros"))))))))))))))</f>
        <v/>
      </c>
      <c r="Q197" s="44" t="str">
        <f aca="false">IF(B197="","",IF(ISNUMBER(K197),IF(K197&lt;=3,"1-3 meses",IF(K197&lt;=6,"4-6 meses","+6 meses")),"Sin dato registrado"))</f>
        <v/>
      </c>
      <c r="R197" s="44" t="str">
        <f aca="false">IF(OR(B197="",M197=""),"",RANK(M197,$M$3:$M$306)+COUNTIF($M$3:M197,M197)-1)</f>
        <v/>
      </c>
    </row>
    <row r="198" customFormat="false" ht="15" hidden="true" customHeight="true" outlineLevel="0" collapsed="false">
      <c r="A198" s="49" t="n">
        <v>22</v>
      </c>
      <c r="C198" s="54"/>
      <c r="M198" s="44" t="str">
        <f aca="false">IF(B198="","",IF(ISNUMBER(I198),I198,IFERROR(VALUE(SUBSTITUTE(SUBSTITUTE(I198,"$",""),".","")),0)))</f>
        <v/>
      </c>
      <c r="N198" s="44" t="str">
        <f aca="false">IF(B198="","",PROPER(TRIM(D198)))</f>
        <v/>
      </c>
      <c r="O198" s="44" t="str">
        <f aca="false">IF(B198="","",IF(OR(ISNUMBER(SEARCH("AL DIA",L198)),ISNUMBER(SEARCH("AL DIA",F198))),"Al día",IF(OR(ISNUMBER(SEARCH("QUIETO",L198)),ISNUMBER(SEARCH("QUIETO",F198)),ISNUMBER(SEARCH("ESPERANDO",L198)),ISNUMBER(SEARCH("ESPERANDO",F198))),"Sin respuesta / Inactivo",IF(OR(ISNUMBER(SEARCH("PENDIENTE",L198)),ISNUMBER(SEARCH("PENDIENTE",F198)),ISNUMBER(SEARCH("COMPROMISO",F198)),ISNUMBER(SEARCH("COMPROMISO",L198)),ISNUMBER(SEARCH("PROCESO",F198)),ISNUMBER(SEARCH("LLAMAR",F198)),ISNUMBER(SEARCH("ABONO",J198)),EXACT(L198,"P"),EXACT(F198,"P")),"Pendiente / Compromiso","Sin gestionar"))))</f>
        <v/>
      </c>
      <c r="P198" s="44" t="str">
        <f aca="false">IF(B198="","",IF(E198="","Sin definir",IF(ISNUMBER(SEARCH("ITIL",E198)),"ITIL",IF(ISNUMBER(SEARCH("ISO 27001",E198)),"ISO 27001",IF(ISNUMBER(SEARCH("ISO 42001",E198)),"ISO 42001",IF(ISNUMBER(SEARCH("ISO",E198)),"Otras ISO",IF(ISNUMBER(SEARCH("SCRUM",E198)),"SCRUM",IF(ISNUMBER(SEARCH("BRIDGE",E198)),"BRIDGE",IF(ISNUMBER(SEARCH("CDS",E198)),"CDS",IF(ISNUMBER(SEARCH("TOGAF",E198)),"TOGAF",IF(ISNUMBER(SEARCH("DPI",E198)),"DPI",IF(ISNUMBER(SEARCH("DITS",E198)),"DITS",IF(ISNUMBER(SEARCH("AGILE",E198)),"AGILE",IF(ISNUMBER(SEARCH("Ciberseguridad",E198)),"Ciberseguridad","Otros"))))))))))))))</f>
        <v/>
      </c>
      <c r="Q198" s="44" t="str">
        <f aca="false">IF(B198="","",IF(ISNUMBER(K198),IF(K198&lt;=3,"1-3 meses",IF(K198&lt;=6,"4-6 meses","+6 meses")),"Sin dato registrado"))</f>
        <v/>
      </c>
      <c r="R198" s="44" t="str">
        <f aca="false">IF(OR(B198="",M198=""),"",RANK(M198,$M$3:$M$306)+COUNTIF($M$3:M198,M198)-1)</f>
        <v/>
      </c>
    </row>
    <row r="199" customFormat="false" ht="15" hidden="true" customHeight="true" outlineLevel="0" collapsed="false">
      <c r="A199" s="50" t="n">
        <v>22</v>
      </c>
      <c r="C199" s="54"/>
      <c r="M199" s="44" t="str">
        <f aca="false">IF(B199="","",IF(ISNUMBER(I199),I199,IFERROR(VALUE(SUBSTITUTE(SUBSTITUTE(I199,"$",""),".","")),0)))</f>
        <v/>
      </c>
      <c r="N199" s="44" t="str">
        <f aca="false">IF(B199="","",PROPER(TRIM(D199)))</f>
        <v/>
      </c>
      <c r="O199" s="44" t="str">
        <f aca="false">IF(B199="","",IF(OR(ISNUMBER(SEARCH("AL DIA",L199)),ISNUMBER(SEARCH("AL DIA",F199))),"Al día",IF(OR(ISNUMBER(SEARCH("QUIETO",L199)),ISNUMBER(SEARCH("QUIETO",F199)),ISNUMBER(SEARCH("ESPERANDO",L199)),ISNUMBER(SEARCH("ESPERANDO",F199))),"Sin respuesta / Inactivo",IF(OR(ISNUMBER(SEARCH("PENDIENTE",L199)),ISNUMBER(SEARCH("PENDIENTE",F199)),ISNUMBER(SEARCH("COMPROMISO",F199)),ISNUMBER(SEARCH("COMPROMISO",L199)),ISNUMBER(SEARCH("PROCESO",F199)),ISNUMBER(SEARCH("LLAMAR",F199)),ISNUMBER(SEARCH("ABONO",J199)),EXACT(L199,"P"),EXACT(F199,"P")),"Pendiente / Compromiso","Sin gestionar"))))</f>
        <v/>
      </c>
      <c r="P199" s="44" t="str">
        <f aca="false">IF(B199="","",IF(E199="","Sin definir",IF(ISNUMBER(SEARCH("ITIL",E199)),"ITIL",IF(ISNUMBER(SEARCH("ISO 27001",E199)),"ISO 27001",IF(ISNUMBER(SEARCH("ISO 42001",E199)),"ISO 42001",IF(ISNUMBER(SEARCH("ISO",E199)),"Otras ISO",IF(ISNUMBER(SEARCH("SCRUM",E199)),"SCRUM",IF(ISNUMBER(SEARCH("BRIDGE",E199)),"BRIDGE",IF(ISNUMBER(SEARCH("CDS",E199)),"CDS",IF(ISNUMBER(SEARCH("TOGAF",E199)),"TOGAF",IF(ISNUMBER(SEARCH("DPI",E199)),"DPI",IF(ISNUMBER(SEARCH("DITS",E199)),"DITS",IF(ISNUMBER(SEARCH("AGILE",E199)),"AGILE",IF(ISNUMBER(SEARCH("Ciberseguridad",E199)),"Ciberseguridad","Otros"))))))))))))))</f>
        <v/>
      </c>
      <c r="Q199" s="44" t="str">
        <f aca="false">IF(B199="","",IF(ISNUMBER(K199),IF(K199&lt;=3,"1-3 meses",IF(K199&lt;=6,"4-6 meses","+6 meses")),"Sin dato registrado"))</f>
        <v/>
      </c>
      <c r="R199" s="44" t="str">
        <f aca="false">IF(OR(B199="",M199=""),"",RANK(M199,$M$3:$M$306)+COUNTIF($M$3:M199,M199)-1)</f>
        <v/>
      </c>
    </row>
    <row r="200" customFormat="false" ht="15" hidden="true" customHeight="true" outlineLevel="0" collapsed="false">
      <c r="A200" s="49" t="n">
        <v>22</v>
      </c>
      <c r="C200" s="54"/>
      <c r="M200" s="44" t="str">
        <f aca="false">IF(B200="","",IF(ISNUMBER(I200),I200,IFERROR(VALUE(SUBSTITUTE(SUBSTITUTE(I200,"$",""),".","")),0)))</f>
        <v/>
      </c>
      <c r="N200" s="44" t="str">
        <f aca="false">IF(B200="","",PROPER(TRIM(D200)))</f>
        <v/>
      </c>
      <c r="O200" s="44" t="str">
        <f aca="false">IF(B200="","",IF(OR(ISNUMBER(SEARCH("AL DIA",L200)),ISNUMBER(SEARCH("AL DIA",F200))),"Al día",IF(OR(ISNUMBER(SEARCH("QUIETO",L200)),ISNUMBER(SEARCH("QUIETO",F200)),ISNUMBER(SEARCH("ESPERANDO",L200)),ISNUMBER(SEARCH("ESPERANDO",F200))),"Sin respuesta / Inactivo",IF(OR(ISNUMBER(SEARCH("PENDIENTE",L200)),ISNUMBER(SEARCH("PENDIENTE",F200)),ISNUMBER(SEARCH("COMPROMISO",F200)),ISNUMBER(SEARCH("COMPROMISO",L200)),ISNUMBER(SEARCH("PROCESO",F200)),ISNUMBER(SEARCH("LLAMAR",F200)),ISNUMBER(SEARCH("ABONO",J200)),EXACT(L200,"P"),EXACT(F200,"P")),"Pendiente / Compromiso","Sin gestionar"))))</f>
        <v/>
      </c>
      <c r="P200" s="44" t="str">
        <f aca="false">IF(B200="","",IF(E200="","Sin definir",IF(ISNUMBER(SEARCH("ITIL",E200)),"ITIL",IF(ISNUMBER(SEARCH("ISO 27001",E200)),"ISO 27001",IF(ISNUMBER(SEARCH("ISO 42001",E200)),"ISO 42001",IF(ISNUMBER(SEARCH("ISO",E200)),"Otras ISO",IF(ISNUMBER(SEARCH("SCRUM",E200)),"SCRUM",IF(ISNUMBER(SEARCH("BRIDGE",E200)),"BRIDGE",IF(ISNUMBER(SEARCH("CDS",E200)),"CDS",IF(ISNUMBER(SEARCH("TOGAF",E200)),"TOGAF",IF(ISNUMBER(SEARCH("DPI",E200)),"DPI",IF(ISNUMBER(SEARCH("DITS",E200)),"DITS",IF(ISNUMBER(SEARCH("AGILE",E200)),"AGILE",IF(ISNUMBER(SEARCH("Ciberseguridad",E200)),"Ciberseguridad","Otros"))))))))))))))</f>
        <v/>
      </c>
      <c r="Q200" s="44" t="str">
        <f aca="false">IF(B200="","",IF(ISNUMBER(K200),IF(K200&lt;=3,"1-3 meses",IF(K200&lt;=6,"4-6 meses","+6 meses")),"Sin dato registrado"))</f>
        <v/>
      </c>
      <c r="R200" s="44" t="str">
        <f aca="false">IF(OR(B200="",M200=""),"",RANK(M200,$M$3:$M$306)+COUNTIF($M$3:M200,M200)-1)</f>
        <v/>
      </c>
    </row>
    <row r="201" customFormat="false" ht="15" hidden="true" customHeight="true" outlineLevel="0" collapsed="false">
      <c r="A201" s="50" t="n">
        <v>22</v>
      </c>
      <c r="C201" s="54"/>
      <c r="M201" s="44" t="str">
        <f aca="false">IF(B201="","",IF(ISNUMBER(I201),I201,IFERROR(VALUE(SUBSTITUTE(SUBSTITUTE(I201,"$",""),".","")),0)))</f>
        <v/>
      </c>
      <c r="N201" s="44" t="str">
        <f aca="false">IF(B201="","",PROPER(TRIM(D201)))</f>
        <v/>
      </c>
      <c r="O201" s="44" t="str">
        <f aca="false">IF(B201="","",IF(OR(ISNUMBER(SEARCH("AL DIA",L201)),ISNUMBER(SEARCH("AL DIA",F201))),"Al día",IF(OR(ISNUMBER(SEARCH("QUIETO",L201)),ISNUMBER(SEARCH("QUIETO",F201)),ISNUMBER(SEARCH("ESPERANDO",L201)),ISNUMBER(SEARCH("ESPERANDO",F201))),"Sin respuesta / Inactivo",IF(OR(ISNUMBER(SEARCH("PENDIENTE",L201)),ISNUMBER(SEARCH("PENDIENTE",F201)),ISNUMBER(SEARCH("COMPROMISO",F201)),ISNUMBER(SEARCH("COMPROMISO",L201)),ISNUMBER(SEARCH("PROCESO",F201)),ISNUMBER(SEARCH("LLAMAR",F201)),ISNUMBER(SEARCH("ABONO",J201)),EXACT(L201,"P"),EXACT(F201,"P")),"Pendiente / Compromiso","Sin gestionar"))))</f>
        <v/>
      </c>
      <c r="P201" s="44" t="str">
        <f aca="false">IF(B201="","",IF(E201="","Sin definir",IF(ISNUMBER(SEARCH("ITIL",E201)),"ITIL",IF(ISNUMBER(SEARCH("ISO 27001",E201)),"ISO 27001",IF(ISNUMBER(SEARCH("ISO 42001",E201)),"ISO 42001",IF(ISNUMBER(SEARCH("ISO",E201)),"Otras ISO",IF(ISNUMBER(SEARCH("SCRUM",E201)),"SCRUM",IF(ISNUMBER(SEARCH("BRIDGE",E201)),"BRIDGE",IF(ISNUMBER(SEARCH("CDS",E201)),"CDS",IF(ISNUMBER(SEARCH("TOGAF",E201)),"TOGAF",IF(ISNUMBER(SEARCH("DPI",E201)),"DPI",IF(ISNUMBER(SEARCH("DITS",E201)),"DITS",IF(ISNUMBER(SEARCH("AGILE",E201)),"AGILE",IF(ISNUMBER(SEARCH("Ciberseguridad",E201)),"Ciberseguridad","Otros"))))))))))))))</f>
        <v/>
      </c>
      <c r="Q201" s="44" t="str">
        <f aca="false">IF(B201="","",IF(ISNUMBER(K201),IF(K201&lt;=3,"1-3 meses",IF(K201&lt;=6,"4-6 meses","+6 meses")),"Sin dato registrado"))</f>
        <v/>
      </c>
      <c r="R201" s="44" t="str">
        <f aca="false">IF(OR(B201="",M201=""),"",RANK(M201,$M$3:$M$306)+COUNTIF($M$3:M201,M201)-1)</f>
        <v/>
      </c>
    </row>
    <row r="202" customFormat="false" ht="15" hidden="true" customHeight="true" outlineLevel="0" collapsed="false">
      <c r="A202" s="49" t="n">
        <v>22</v>
      </c>
      <c r="C202" s="54"/>
      <c r="M202" s="44" t="str">
        <f aca="false">IF(B202="","",IF(ISNUMBER(I202),I202,IFERROR(VALUE(SUBSTITUTE(SUBSTITUTE(I202,"$",""),".","")),0)))</f>
        <v/>
      </c>
      <c r="N202" s="44" t="str">
        <f aca="false">IF(B202="","",PROPER(TRIM(D202)))</f>
        <v/>
      </c>
      <c r="O202" s="44" t="str">
        <f aca="false">IF(B202="","",IF(OR(ISNUMBER(SEARCH("AL DIA",L202)),ISNUMBER(SEARCH("AL DIA",F202))),"Al día",IF(OR(ISNUMBER(SEARCH("QUIETO",L202)),ISNUMBER(SEARCH("QUIETO",F202)),ISNUMBER(SEARCH("ESPERANDO",L202)),ISNUMBER(SEARCH("ESPERANDO",F202))),"Sin respuesta / Inactivo",IF(OR(ISNUMBER(SEARCH("PENDIENTE",L202)),ISNUMBER(SEARCH("PENDIENTE",F202)),ISNUMBER(SEARCH("COMPROMISO",F202)),ISNUMBER(SEARCH("COMPROMISO",L202)),ISNUMBER(SEARCH("PROCESO",F202)),ISNUMBER(SEARCH("LLAMAR",F202)),ISNUMBER(SEARCH("ABONO",J202)),EXACT(L202,"P"),EXACT(F202,"P")),"Pendiente / Compromiso","Sin gestionar"))))</f>
        <v/>
      </c>
      <c r="P202" s="44" t="str">
        <f aca="false">IF(B202="","",IF(E202="","Sin definir",IF(ISNUMBER(SEARCH("ITIL",E202)),"ITIL",IF(ISNUMBER(SEARCH("ISO 27001",E202)),"ISO 27001",IF(ISNUMBER(SEARCH("ISO 42001",E202)),"ISO 42001",IF(ISNUMBER(SEARCH("ISO",E202)),"Otras ISO",IF(ISNUMBER(SEARCH("SCRUM",E202)),"SCRUM",IF(ISNUMBER(SEARCH("BRIDGE",E202)),"BRIDGE",IF(ISNUMBER(SEARCH("CDS",E202)),"CDS",IF(ISNUMBER(SEARCH("TOGAF",E202)),"TOGAF",IF(ISNUMBER(SEARCH("DPI",E202)),"DPI",IF(ISNUMBER(SEARCH("DITS",E202)),"DITS",IF(ISNUMBER(SEARCH("AGILE",E202)),"AGILE",IF(ISNUMBER(SEARCH("Ciberseguridad",E202)),"Ciberseguridad","Otros"))))))))))))))</f>
        <v/>
      </c>
      <c r="Q202" s="44" t="str">
        <f aca="false">IF(B202="","",IF(ISNUMBER(K202),IF(K202&lt;=3,"1-3 meses",IF(K202&lt;=6,"4-6 meses","+6 meses")),"Sin dato registrado"))</f>
        <v/>
      </c>
      <c r="R202" s="44" t="str">
        <f aca="false">IF(OR(B202="",M202=""),"",RANK(M202,$M$3:$M$306)+COUNTIF($M$3:M202,M202)-1)</f>
        <v/>
      </c>
    </row>
    <row r="203" customFormat="false" ht="15" hidden="true" customHeight="true" outlineLevel="0" collapsed="false">
      <c r="A203" s="50" t="n">
        <v>22</v>
      </c>
      <c r="C203" s="54"/>
      <c r="M203" s="44" t="str">
        <f aca="false">IF(B203="","",IF(ISNUMBER(I203),I203,IFERROR(VALUE(SUBSTITUTE(SUBSTITUTE(I203,"$",""),".","")),0)))</f>
        <v/>
      </c>
      <c r="N203" s="44" t="str">
        <f aca="false">IF(B203="","",PROPER(TRIM(D203)))</f>
        <v/>
      </c>
      <c r="O203" s="44" t="str">
        <f aca="false">IF(B203="","",IF(OR(ISNUMBER(SEARCH("AL DIA",L203)),ISNUMBER(SEARCH("AL DIA",F203))),"Al día",IF(OR(ISNUMBER(SEARCH("QUIETO",L203)),ISNUMBER(SEARCH("QUIETO",F203)),ISNUMBER(SEARCH("ESPERANDO",L203)),ISNUMBER(SEARCH("ESPERANDO",F203))),"Sin respuesta / Inactivo",IF(OR(ISNUMBER(SEARCH("PENDIENTE",L203)),ISNUMBER(SEARCH("PENDIENTE",F203)),ISNUMBER(SEARCH("COMPROMISO",F203)),ISNUMBER(SEARCH("COMPROMISO",L203)),ISNUMBER(SEARCH("PROCESO",F203)),ISNUMBER(SEARCH("LLAMAR",F203)),ISNUMBER(SEARCH("ABONO",J203)),EXACT(L203,"P"),EXACT(F203,"P")),"Pendiente / Compromiso","Sin gestionar"))))</f>
        <v/>
      </c>
      <c r="P203" s="44" t="str">
        <f aca="false">IF(B203="","",IF(E203="","Sin definir",IF(ISNUMBER(SEARCH("ITIL",E203)),"ITIL",IF(ISNUMBER(SEARCH("ISO 27001",E203)),"ISO 27001",IF(ISNUMBER(SEARCH("ISO 42001",E203)),"ISO 42001",IF(ISNUMBER(SEARCH("ISO",E203)),"Otras ISO",IF(ISNUMBER(SEARCH("SCRUM",E203)),"SCRUM",IF(ISNUMBER(SEARCH("BRIDGE",E203)),"BRIDGE",IF(ISNUMBER(SEARCH("CDS",E203)),"CDS",IF(ISNUMBER(SEARCH("TOGAF",E203)),"TOGAF",IF(ISNUMBER(SEARCH("DPI",E203)),"DPI",IF(ISNUMBER(SEARCH("DITS",E203)),"DITS",IF(ISNUMBER(SEARCH("AGILE",E203)),"AGILE",IF(ISNUMBER(SEARCH("Ciberseguridad",E203)),"Ciberseguridad","Otros"))))))))))))))</f>
        <v/>
      </c>
      <c r="Q203" s="44" t="str">
        <f aca="false">IF(B203="","",IF(ISNUMBER(K203),IF(K203&lt;=3,"1-3 meses",IF(K203&lt;=6,"4-6 meses","+6 meses")),"Sin dato registrado"))</f>
        <v/>
      </c>
      <c r="R203" s="44" t="str">
        <f aca="false">IF(OR(B203="",M203=""),"",RANK(M203,$M$3:$M$306)+COUNTIF($M$3:M203,M203)-1)</f>
        <v/>
      </c>
    </row>
    <row r="204" customFormat="false" ht="15" hidden="true" customHeight="true" outlineLevel="0" collapsed="false">
      <c r="A204" s="49" t="n">
        <v>22</v>
      </c>
      <c r="C204" s="54"/>
      <c r="M204" s="44" t="str">
        <f aca="false">IF(B204="","",IF(ISNUMBER(I204),I204,IFERROR(VALUE(SUBSTITUTE(SUBSTITUTE(I204,"$",""),".","")),0)))</f>
        <v/>
      </c>
      <c r="N204" s="44" t="str">
        <f aca="false">IF(B204="","",PROPER(TRIM(D204)))</f>
        <v/>
      </c>
      <c r="O204" s="44" t="str">
        <f aca="false">IF(B204="","",IF(OR(ISNUMBER(SEARCH("AL DIA",L204)),ISNUMBER(SEARCH("AL DIA",F204))),"Al día",IF(OR(ISNUMBER(SEARCH("QUIETO",L204)),ISNUMBER(SEARCH("QUIETO",F204)),ISNUMBER(SEARCH("ESPERANDO",L204)),ISNUMBER(SEARCH("ESPERANDO",F204))),"Sin respuesta / Inactivo",IF(OR(ISNUMBER(SEARCH("PENDIENTE",L204)),ISNUMBER(SEARCH("PENDIENTE",F204)),ISNUMBER(SEARCH("COMPROMISO",F204)),ISNUMBER(SEARCH("COMPROMISO",L204)),ISNUMBER(SEARCH("PROCESO",F204)),ISNUMBER(SEARCH("LLAMAR",F204)),ISNUMBER(SEARCH("ABONO",J204)),EXACT(L204,"P"),EXACT(F204,"P")),"Pendiente / Compromiso","Sin gestionar"))))</f>
        <v/>
      </c>
      <c r="P204" s="44" t="str">
        <f aca="false">IF(B204="","",IF(E204="","Sin definir",IF(ISNUMBER(SEARCH("ITIL",E204)),"ITIL",IF(ISNUMBER(SEARCH("ISO 27001",E204)),"ISO 27001",IF(ISNUMBER(SEARCH("ISO 42001",E204)),"ISO 42001",IF(ISNUMBER(SEARCH("ISO",E204)),"Otras ISO",IF(ISNUMBER(SEARCH("SCRUM",E204)),"SCRUM",IF(ISNUMBER(SEARCH("BRIDGE",E204)),"BRIDGE",IF(ISNUMBER(SEARCH("CDS",E204)),"CDS",IF(ISNUMBER(SEARCH("TOGAF",E204)),"TOGAF",IF(ISNUMBER(SEARCH("DPI",E204)),"DPI",IF(ISNUMBER(SEARCH("DITS",E204)),"DITS",IF(ISNUMBER(SEARCH("AGILE",E204)),"AGILE",IF(ISNUMBER(SEARCH("Ciberseguridad",E204)),"Ciberseguridad","Otros"))))))))))))))</f>
        <v/>
      </c>
      <c r="Q204" s="44" t="str">
        <f aca="false">IF(B204="","",IF(ISNUMBER(K204),IF(K204&lt;=3,"1-3 meses",IF(K204&lt;=6,"4-6 meses","+6 meses")),"Sin dato registrado"))</f>
        <v/>
      </c>
      <c r="R204" s="44" t="str">
        <f aca="false">IF(OR(B204="",M204=""),"",RANK(M204,$M$3:$M$306)+COUNTIF($M$3:M204,M204)-1)</f>
        <v/>
      </c>
    </row>
    <row r="205" customFormat="false" ht="15" hidden="true" customHeight="true" outlineLevel="0" collapsed="false">
      <c r="A205" s="50" t="n">
        <v>22</v>
      </c>
      <c r="C205" s="54"/>
      <c r="M205" s="44" t="str">
        <f aca="false">IF(B205="","",IF(ISNUMBER(I205),I205,IFERROR(VALUE(SUBSTITUTE(SUBSTITUTE(I205,"$",""),".","")),0)))</f>
        <v/>
      </c>
      <c r="N205" s="44" t="str">
        <f aca="false">IF(B205="","",PROPER(TRIM(D205)))</f>
        <v/>
      </c>
      <c r="O205" s="44" t="str">
        <f aca="false">IF(B205="","",IF(OR(ISNUMBER(SEARCH("AL DIA",L205)),ISNUMBER(SEARCH("AL DIA",F205))),"Al día",IF(OR(ISNUMBER(SEARCH("QUIETO",L205)),ISNUMBER(SEARCH("QUIETO",F205)),ISNUMBER(SEARCH("ESPERANDO",L205)),ISNUMBER(SEARCH("ESPERANDO",F205))),"Sin respuesta / Inactivo",IF(OR(ISNUMBER(SEARCH("PENDIENTE",L205)),ISNUMBER(SEARCH("PENDIENTE",F205)),ISNUMBER(SEARCH("COMPROMISO",F205)),ISNUMBER(SEARCH("COMPROMISO",L205)),ISNUMBER(SEARCH("PROCESO",F205)),ISNUMBER(SEARCH("LLAMAR",F205)),ISNUMBER(SEARCH("ABONO",J205)),EXACT(L205,"P"),EXACT(F205,"P")),"Pendiente / Compromiso","Sin gestionar"))))</f>
        <v/>
      </c>
      <c r="P205" s="44" t="str">
        <f aca="false">IF(B205="","",IF(E205="","Sin definir",IF(ISNUMBER(SEARCH("ITIL",E205)),"ITIL",IF(ISNUMBER(SEARCH("ISO 27001",E205)),"ISO 27001",IF(ISNUMBER(SEARCH("ISO 42001",E205)),"ISO 42001",IF(ISNUMBER(SEARCH("ISO",E205)),"Otras ISO",IF(ISNUMBER(SEARCH("SCRUM",E205)),"SCRUM",IF(ISNUMBER(SEARCH("BRIDGE",E205)),"BRIDGE",IF(ISNUMBER(SEARCH("CDS",E205)),"CDS",IF(ISNUMBER(SEARCH("TOGAF",E205)),"TOGAF",IF(ISNUMBER(SEARCH("DPI",E205)),"DPI",IF(ISNUMBER(SEARCH("DITS",E205)),"DITS",IF(ISNUMBER(SEARCH("AGILE",E205)),"AGILE",IF(ISNUMBER(SEARCH("Ciberseguridad",E205)),"Ciberseguridad","Otros"))))))))))))))</f>
        <v/>
      </c>
      <c r="Q205" s="44" t="str">
        <f aca="false">IF(B205="","",IF(ISNUMBER(K205),IF(K205&lt;=3,"1-3 meses",IF(K205&lt;=6,"4-6 meses","+6 meses")),"Sin dato registrado"))</f>
        <v/>
      </c>
      <c r="R205" s="44" t="str">
        <f aca="false">IF(OR(B205="",M205=""),"",RANK(M205,$M$3:$M$306)+COUNTIF($M$3:M205,M205)-1)</f>
        <v/>
      </c>
    </row>
    <row r="206" customFormat="false" ht="15" hidden="true" customHeight="true" outlineLevel="0" collapsed="false">
      <c r="A206" s="49" t="n">
        <v>22</v>
      </c>
      <c r="C206" s="54"/>
      <c r="M206" s="44" t="str">
        <f aca="false">IF(B206="","",IF(ISNUMBER(I206),I206,IFERROR(VALUE(SUBSTITUTE(SUBSTITUTE(I206,"$",""),".","")),0)))</f>
        <v/>
      </c>
      <c r="N206" s="44" t="str">
        <f aca="false">IF(B206="","",PROPER(TRIM(D206)))</f>
        <v/>
      </c>
      <c r="O206" s="44" t="str">
        <f aca="false">IF(B206="","",IF(OR(ISNUMBER(SEARCH("AL DIA",L206)),ISNUMBER(SEARCH("AL DIA",F206))),"Al día",IF(OR(ISNUMBER(SEARCH("QUIETO",L206)),ISNUMBER(SEARCH("QUIETO",F206)),ISNUMBER(SEARCH("ESPERANDO",L206)),ISNUMBER(SEARCH("ESPERANDO",F206))),"Sin respuesta / Inactivo",IF(OR(ISNUMBER(SEARCH("PENDIENTE",L206)),ISNUMBER(SEARCH("PENDIENTE",F206)),ISNUMBER(SEARCH("COMPROMISO",F206)),ISNUMBER(SEARCH("COMPROMISO",L206)),ISNUMBER(SEARCH("PROCESO",F206)),ISNUMBER(SEARCH("LLAMAR",F206)),ISNUMBER(SEARCH("ABONO",J206)),EXACT(L206,"P"),EXACT(F206,"P")),"Pendiente / Compromiso","Sin gestionar"))))</f>
        <v/>
      </c>
      <c r="P206" s="44" t="str">
        <f aca="false">IF(B206="","",IF(E206="","Sin definir",IF(ISNUMBER(SEARCH("ITIL",E206)),"ITIL",IF(ISNUMBER(SEARCH("ISO 27001",E206)),"ISO 27001",IF(ISNUMBER(SEARCH("ISO 42001",E206)),"ISO 42001",IF(ISNUMBER(SEARCH("ISO",E206)),"Otras ISO",IF(ISNUMBER(SEARCH("SCRUM",E206)),"SCRUM",IF(ISNUMBER(SEARCH("BRIDGE",E206)),"BRIDGE",IF(ISNUMBER(SEARCH("CDS",E206)),"CDS",IF(ISNUMBER(SEARCH("TOGAF",E206)),"TOGAF",IF(ISNUMBER(SEARCH("DPI",E206)),"DPI",IF(ISNUMBER(SEARCH("DITS",E206)),"DITS",IF(ISNUMBER(SEARCH("AGILE",E206)),"AGILE",IF(ISNUMBER(SEARCH("Ciberseguridad",E206)),"Ciberseguridad","Otros"))))))))))))))</f>
        <v/>
      </c>
      <c r="Q206" s="44" t="str">
        <f aca="false">IF(B206="","",IF(ISNUMBER(K206),IF(K206&lt;=3,"1-3 meses",IF(K206&lt;=6,"4-6 meses","+6 meses")),"Sin dato registrado"))</f>
        <v/>
      </c>
      <c r="R206" s="44" t="str">
        <f aca="false">IF(OR(B206="",M206=""),"",RANK(M206,$M$3:$M$306)+COUNTIF($M$3:M206,M206)-1)</f>
        <v/>
      </c>
    </row>
    <row r="207" customFormat="false" ht="15" hidden="false" customHeight="true" outlineLevel="0" collapsed="false">
      <c r="A207" s="45" t="n">
        <v>24</v>
      </c>
      <c r="B207" s="1" t="s">
        <v>133</v>
      </c>
      <c r="C207" s="57"/>
      <c r="D207" s="1" t="s">
        <v>21</v>
      </c>
      <c r="E207" s="1" t="s">
        <v>134</v>
      </c>
      <c r="F207" s="48" t="s">
        <v>66</v>
      </c>
      <c r="G207" s="24" t="s">
        <v>128</v>
      </c>
      <c r="H207" s="25" t="s">
        <v>83</v>
      </c>
      <c r="I207" s="25" t="n">
        <v>850000</v>
      </c>
      <c r="J207" s="1" t="s">
        <v>128</v>
      </c>
      <c r="L207" s="1" t="s">
        <v>128</v>
      </c>
      <c r="M207" s="43" t="n">
        <f aca="false">IF(B207="","",IF(ISNUMBER(I207),I207,IFERROR(VALUE(SUBSTITUTE(SUBSTITUTE(I207,"$",""),".","")),0)))</f>
        <v>850000</v>
      </c>
      <c r="N207" s="44" t="str">
        <f aca="false">IF(B207="","",PROPER(TRIM(D207)))</f>
        <v>Ximena</v>
      </c>
      <c r="O207" s="44" t="str">
        <f aca="false">IF(B207="","",IF(OR(ISNUMBER(SEARCH("AL DIA",L207)),ISNUMBER(SEARCH("AL DIA",F207))),"Al día",IF(OR(ISNUMBER(SEARCH("QUIETO",L207)),ISNUMBER(SEARCH("QUIETO",F207)),ISNUMBER(SEARCH("ESPERANDO",L207)),ISNUMBER(SEARCH("ESPERANDO",F207))),"Sin respuesta / Inactivo",IF(OR(ISNUMBER(SEARCH("PENDIENTE",L207)),ISNUMBER(SEARCH("PENDIENTE",F207)),ISNUMBER(SEARCH("COMPROMISO",F207)),ISNUMBER(SEARCH("COMPROMISO",L207)),ISNUMBER(SEARCH("PROCESO",F207)),ISNUMBER(SEARCH("LLAMAR",F207)),ISNUMBER(SEARCH("ABONO",J207)),EXACT(L207,"P"),EXACT(F207,"P")),"Pendiente / Compromiso","Sin gestionar"))))</f>
        <v>Pendiente / Compromiso</v>
      </c>
      <c r="P207" s="44" t="str">
        <f aca="false">IF(B207="","",IF(E207="","Sin definir",IF(ISNUMBER(SEARCH("ITIL",E207)),"ITIL",IF(ISNUMBER(SEARCH("ISO 27001",E207)),"ISO 27001",IF(ISNUMBER(SEARCH("ISO 42001",E207)),"ISO 42001",IF(ISNUMBER(SEARCH("ISO",E207)),"Otras ISO",IF(ISNUMBER(SEARCH("SCRUM",E207)),"SCRUM",IF(ISNUMBER(SEARCH("BRIDGE",E207)),"BRIDGE",IF(ISNUMBER(SEARCH("CDS",E207)),"CDS",IF(ISNUMBER(SEARCH("TOGAF",E207)),"TOGAF",IF(ISNUMBER(SEARCH("DPI",E207)),"DPI",IF(ISNUMBER(SEARCH("DITS",E207)),"DITS",IF(ISNUMBER(SEARCH("AGILE",E207)),"AGILE",IF(ISNUMBER(SEARCH("Ciberseguridad",E207)),"Ciberseguridad","Otros"))))))))))))))</f>
        <v>ITIL</v>
      </c>
      <c r="Q207" s="44" t="str">
        <f aca="false">IF(B207="","",IF(ISNUMBER(K207),IF(K207&lt;=3,"1-3 meses",IF(K207&lt;=6,"4-6 meses","+6 meses")),"Sin dato registrado"))</f>
        <v>Sin dato registrado</v>
      </c>
      <c r="R207" s="44" t="n">
        <f aca="false">IF(OR(B207="",M207=""),"",RANK(M207,$M$3:$M$306)+COUNTIF($M$3:M207,M207)-1)</f>
        <v>29</v>
      </c>
    </row>
    <row r="208" customFormat="false" ht="15" hidden="false" customHeight="true" outlineLevel="0" collapsed="false">
      <c r="A208" s="58" t="n">
        <v>25</v>
      </c>
      <c r="B208" s="1" t="s">
        <v>135</v>
      </c>
      <c r="C208" s="57"/>
      <c r="D208" s="1" t="s">
        <v>21</v>
      </c>
      <c r="E208" s="1" t="s">
        <v>134</v>
      </c>
      <c r="F208" s="48" t="s">
        <v>66</v>
      </c>
      <c r="G208" s="24" t="s">
        <v>128</v>
      </c>
      <c r="K208" s="1" t="s">
        <v>136</v>
      </c>
      <c r="M208" s="44" t="n">
        <f aca="false">IF(B208="","",IF(ISNUMBER(I208),I208,IFERROR(VALUE(SUBSTITUTE(SUBSTITUTE(I208,"$",""),".","")),0)))</f>
        <v>0</v>
      </c>
      <c r="N208" s="44" t="str">
        <f aca="false">IF(B208="","",PROPER(TRIM(D208)))</f>
        <v>Ximena</v>
      </c>
      <c r="O208" s="44" t="str">
        <f aca="false">IF(B208="","",IF(OR(ISNUMBER(SEARCH("AL DIA",L208)),ISNUMBER(SEARCH("AL DIA",F208))),"Al día",IF(OR(ISNUMBER(SEARCH("QUIETO",L208)),ISNUMBER(SEARCH("QUIETO",F208)),ISNUMBER(SEARCH("ESPERANDO",L208)),ISNUMBER(SEARCH("ESPERANDO",F208))),"Sin respuesta / Inactivo",IF(OR(ISNUMBER(SEARCH("PENDIENTE",L208)),ISNUMBER(SEARCH("PENDIENTE",F208)),ISNUMBER(SEARCH("COMPROMISO",F208)),ISNUMBER(SEARCH("COMPROMISO",L208)),ISNUMBER(SEARCH("PROCESO",F208)),ISNUMBER(SEARCH("LLAMAR",F208)),ISNUMBER(SEARCH("ABONO",J208)),EXACT(L208,"P"),EXACT(F208,"P")),"Pendiente / Compromiso","Sin gestionar"))))</f>
        <v>Sin gestionar</v>
      </c>
      <c r="P208" s="44" t="str">
        <f aca="false">IF(B208="","",IF(E208="","Sin definir",IF(ISNUMBER(SEARCH("ITIL",E208)),"ITIL",IF(ISNUMBER(SEARCH("ISO 27001",E208)),"ISO 27001",IF(ISNUMBER(SEARCH("ISO 42001",E208)),"ISO 42001",IF(ISNUMBER(SEARCH("ISO",E208)),"Otras ISO",IF(ISNUMBER(SEARCH("SCRUM",E208)),"SCRUM",IF(ISNUMBER(SEARCH("BRIDGE",E208)),"BRIDGE",IF(ISNUMBER(SEARCH("CDS",E208)),"CDS",IF(ISNUMBER(SEARCH("TOGAF",E208)),"TOGAF",IF(ISNUMBER(SEARCH("DPI",E208)),"DPI",IF(ISNUMBER(SEARCH("DITS",E208)),"DITS",IF(ISNUMBER(SEARCH("AGILE",E208)),"AGILE",IF(ISNUMBER(SEARCH("Ciberseguridad",E208)),"Ciberseguridad","Otros"))))))))))))))</f>
        <v>ITIL</v>
      </c>
      <c r="Q208" s="44" t="str">
        <f aca="false">IF(B208="","",IF(ISNUMBER(K208),IF(K208&lt;=3,"1-3 meses",IF(K208&lt;=6,"4-6 meses","+6 meses")),"Sin dato registrado"))</f>
        <v>Sin dato registrado</v>
      </c>
      <c r="R208" s="44" t="n">
        <f aca="false">IF(OR(B208="",M208=""),"",RANK(M208,$M$3:$M$306)+COUNTIF($M$3:M208,M208)-1)</f>
        <v>62</v>
      </c>
    </row>
    <row r="209" customFormat="false" ht="15" hidden="false" customHeight="true" outlineLevel="0" collapsed="false">
      <c r="A209" s="45" t="n">
        <v>26</v>
      </c>
      <c r="B209" s="1" t="s">
        <v>137</v>
      </c>
      <c r="C209" s="57"/>
      <c r="D209" s="1" t="s">
        <v>21</v>
      </c>
      <c r="E209" s="1" t="s">
        <v>134</v>
      </c>
      <c r="I209" s="25" t="n">
        <v>650000</v>
      </c>
      <c r="J209" s="56" t="n">
        <v>46203</v>
      </c>
      <c r="M209" s="43" t="n">
        <f aca="false">IF(B209="","",IF(ISNUMBER(I209),I209,IFERROR(VALUE(SUBSTITUTE(SUBSTITUTE(I209,"$",""),".","")),0)))</f>
        <v>650000</v>
      </c>
      <c r="N209" s="44" t="str">
        <f aca="false">IF(B209="","",PROPER(TRIM(D209)))</f>
        <v>Ximena</v>
      </c>
      <c r="O209" s="44" t="str">
        <f aca="false">IF(B209="","",IF(OR(ISNUMBER(SEARCH("AL DIA",L209)),ISNUMBER(SEARCH("AL DIA",F209))),"Al día",IF(OR(ISNUMBER(SEARCH("QUIETO",L209)),ISNUMBER(SEARCH("QUIETO",F209)),ISNUMBER(SEARCH("ESPERANDO",L209)),ISNUMBER(SEARCH("ESPERANDO",F209))),"Sin respuesta / Inactivo",IF(OR(ISNUMBER(SEARCH("PENDIENTE",L209)),ISNUMBER(SEARCH("PENDIENTE",F209)),ISNUMBER(SEARCH("COMPROMISO",F209)),ISNUMBER(SEARCH("COMPROMISO",L209)),ISNUMBER(SEARCH("PROCESO",F209)),ISNUMBER(SEARCH("LLAMAR",F209)),ISNUMBER(SEARCH("ABONO",J209)),EXACT(L209,"P"),EXACT(F209,"P")),"Pendiente / Compromiso","Sin gestionar"))))</f>
        <v>Sin gestionar</v>
      </c>
      <c r="P209" s="44" t="str">
        <f aca="false">IF(B209="","",IF(E209="","Sin definir",IF(ISNUMBER(SEARCH("ITIL",E209)),"ITIL",IF(ISNUMBER(SEARCH("ISO 27001",E209)),"ISO 27001",IF(ISNUMBER(SEARCH("ISO 42001",E209)),"ISO 42001",IF(ISNUMBER(SEARCH("ISO",E209)),"Otras ISO",IF(ISNUMBER(SEARCH("SCRUM",E209)),"SCRUM",IF(ISNUMBER(SEARCH("BRIDGE",E209)),"BRIDGE",IF(ISNUMBER(SEARCH("CDS",E209)),"CDS",IF(ISNUMBER(SEARCH("TOGAF",E209)),"TOGAF",IF(ISNUMBER(SEARCH("DPI",E209)),"DPI",IF(ISNUMBER(SEARCH("DITS",E209)),"DITS",IF(ISNUMBER(SEARCH("AGILE",E209)),"AGILE",IF(ISNUMBER(SEARCH("Ciberseguridad",E209)),"Ciberseguridad","Otros"))))))))))))))</f>
        <v>ITIL</v>
      </c>
      <c r="Q209" s="44" t="str">
        <f aca="false">IF(B209="","",IF(ISNUMBER(K209),IF(K209&lt;=3,"1-3 meses",IF(K209&lt;=6,"4-6 meses","+6 meses")),"Sin dato registrado"))</f>
        <v>Sin dato registrado</v>
      </c>
      <c r="R209" s="44" t="n">
        <f aca="false">IF(OR(B209="",M209=""),"",RANK(M209,$M$3:$M$306)+COUNTIF($M$3:M209,M209)-1)</f>
        <v>37</v>
      </c>
    </row>
    <row r="210" customFormat="false" ht="15" hidden="false" customHeight="true" outlineLevel="0" collapsed="false">
      <c r="A210" s="58" t="n">
        <v>27</v>
      </c>
      <c r="B210" s="1" t="s">
        <v>138</v>
      </c>
      <c r="C210" s="57"/>
      <c r="D210" s="1" t="s">
        <v>139</v>
      </c>
      <c r="E210" s="1" t="s">
        <v>65</v>
      </c>
      <c r="I210" s="25" t="n">
        <v>500000</v>
      </c>
      <c r="J210" s="1" t="s">
        <v>140</v>
      </c>
      <c r="L210" s="1" t="s">
        <v>100</v>
      </c>
      <c r="M210" s="43" t="n">
        <f aca="false">IF(B210="","",IF(ISNUMBER(I210),I210,IFERROR(VALUE(SUBSTITUTE(SUBSTITUTE(I210,"$",""),".","")),0)))</f>
        <v>500000</v>
      </c>
      <c r="N210" s="44" t="str">
        <f aca="false">IF(B210="","",PROPER(TRIM(D210)))</f>
        <v>Ximena</v>
      </c>
      <c r="O210" s="44" t="str">
        <f aca="false">IF(B210="","",IF(OR(ISNUMBER(SEARCH("AL DIA",L210)),ISNUMBER(SEARCH("AL DIA",F210))),"Al día",IF(OR(ISNUMBER(SEARCH("QUIETO",L210)),ISNUMBER(SEARCH("QUIETO",F210)),ISNUMBER(SEARCH("ESPERANDO",L210)),ISNUMBER(SEARCH("ESPERANDO",F210))),"Sin respuesta / Inactivo",IF(OR(ISNUMBER(SEARCH("PENDIENTE",L210)),ISNUMBER(SEARCH("PENDIENTE",F210)),ISNUMBER(SEARCH("COMPROMISO",F210)),ISNUMBER(SEARCH("COMPROMISO",L210)),ISNUMBER(SEARCH("PROCESO",F210)),ISNUMBER(SEARCH("LLAMAR",F210)),ISNUMBER(SEARCH("ABONO",J210)),EXACT(L210,"P"),EXACT(F210,"P")),"Pendiente / Compromiso","Sin gestionar"))))</f>
        <v>Pendiente / Compromiso</v>
      </c>
      <c r="P210" s="44" t="str">
        <f aca="false">IF(B210="","",IF(E210="","Sin definir",IF(ISNUMBER(SEARCH("ITIL",E210)),"ITIL",IF(ISNUMBER(SEARCH("ISO 27001",E210)),"ISO 27001",IF(ISNUMBER(SEARCH("ISO 42001",E210)),"ISO 42001",IF(ISNUMBER(SEARCH("ISO",E210)),"Otras ISO",IF(ISNUMBER(SEARCH("SCRUM",E210)),"SCRUM",IF(ISNUMBER(SEARCH("BRIDGE",E210)),"BRIDGE",IF(ISNUMBER(SEARCH("CDS",E210)),"CDS",IF(ISNUMBER(SEARCH("TOGAF",E210)),"TOGAF",IF(ISNUMBER(SEARCH("DPI",E210)),"DPI",IF(ISNUMBER(SEARCH("DITS",E210)),"DITS",IF(ISNUMBER(SEARCH("AGILE",E210)),"AGILE",IF(ISNUMBER(SEARCH("Ciberseguridad",E210)),"Ciberseguridad","Otros"))))))))))))))</f>
        <v>ITIL</v>
      </c>
      <c r="Q210" s="44" t="str">
        <f aca="false">IF(B210="","",IF(ISNUMBER(K210),IF(K210&lt;=3,"1-3 meses",IF(K210&lt;=6,"4-6 meses","+6 meses")),"Sin dato registrado"))</f>
        <v>Sin dato registrado</v>
      </c>
      <c r="R210" s="44" t="n">
        <f aca="false">IF(OR(B210="",M210=""),"",RANK(M210,$M$3:$M$306)+COUNTIF($M$3:M210,M210)-1)</f>
        <v>47</v>
      </c>
    </row>
    <row r="211" customFormat="false" ht="15" hidden="false" customHeight="true" outlineLevel="0" collapsed="false">
      <c r="A211" s="45" t="n">
        <v>28</v>
      </c>
      <c r="B211" s="23" t="s">
        <v>120</v>
      </c>
      <c r="C211" s="57"/>
      <c r="D211" s="1" t="s">
        <v>21</v>
      </c>
      <c r="E211" s="1" t="s">
        <v>34</v>
      </c>
      <c r="J211" s="1" t="s">
        <v>141</v>
      </c>
      <c r="M211" s="44" t="n">
        <f aca="false">IF(B211="","",IF(ISNUMBER(I211),I211,IFERROR(VALUE(SUBSTITUTE(SUBSTITUTE(I211,"$",""),".","")),0)))</f>
        <v>0</v>
      </c>
      <c r="N211" s="44" t="str">
        <f aca="false">IF(B211="","",PROPER(TRIM(D211)))</f>
        <v>Ximena</v>
      </c>
      <c r="O211" s="44" t="str">
        <f aca="false">IF(B211="","",IF(OR(ISNUMBER(SEARCH("AL DIA",L211)),ISNUMBER(SEARCH("AL DIA",F211))),"Al día",IF(OR(ISNUMBER(SEARCH("QUIETO",L211)),ISNUMBER(SEARCH("QUIETO",F211)),ISNUMBER(SEARCH("ESPERANDO",L211)),ISNUMBER(SEARCH("ESPERANDO",F211))),"Sin respuesta / Inactivo",IF(OR(ISNUMBER(SEARCH("PENDIENTE",L211)),ISNUMBER(SEARCH("PENDIENTE",F211)),ISNUMBER(SEARCH("COMPROMISO",F211)),ISNUMBER(SEARCH("COMPROMISO",L211)),ISNUMBER(SEARCH("PROCESO",F211)),ISNUMBER(SEARCH("LLAMAR",F211)),ISNUMBER(SEARCH("ABONO",J211)),EXACT(L211,"P"),EXACT(F211,"P")),"Pendiente / Compromiso","Sin gestionar"))))</f>
        <v>Sin gestionar</v>
      </c>
      <c r="P211" s="44" t="str">
        <f aca="false">IF(B211="","",IF(E211="","Sin definir",IF(ISNUMBER(SEARCH("ITIL",E211)),"ITIL",IF(ISNUMBER(SEARCH("ISO 27001",E211)),"ISO 27001",IF(ISNUMBER(SEARCH("ISO 42001",E211)),"ISO 42001",IF(ISNUMBER(SEARCH("ISO",E211)),"Otras ISO",IF(ISNUMBER(SEARCH("SCRUM",E211)),"SCRUM",IF(ISNUMBER(SEARCH("BRIDGE",E211)),"BRIDGE",IF(ISNUMBER(SEARCH("CDS",E211)),"CDS",IF(ISNUMBER(SEARCH("TOGAF",E211)),"TOGAF",IF(ISNUMBER(SEARCH("DPI",E211)),"DPI",IF(ISNUMBER(SEARCH("DITS",E211)),"DITS",IF(ISNUMBER(SEARCH("AGILE",E211)),"AGILE",IF(ISNUMBER(SEARCH("Ciberseguridad",E211)),"Ciberseguridad","Otros"))))))))))))))</f>
        <v>DPI</v>
      </c>
      <c r="Q211" s="44" t="str">
        <f aca="false">IF(B211="","",IF(ISNUMBER(K211),IF(K211&lt;=3,"1-3 meses",IF(K211&lt;=6,"4-6 meses","+6 meses")),"Sin dato registrado"))</f>
        <v>Sin dato registrado</v>
      </c>
      <c r="R211" s="44" t="n">
        <f aca="false">IF(OR(B211="",M211=""),"",RANK(M211,$M$3:$M$306)+COUNTIF($M$3:M211,M211)-1)</f>
        <v>63</v>
      </c>
    </row>
    <row r="212" customFormat="false" ht="15" hidden="false" customHeight="true" outlineLevel="0" collapsed="false">
      <c r="A212" s="50" t="n">
        <v>29</v>
      </c>
      <c r="B212" s="59" t="s">
        <v>142</v>
      </c>
      <c r="C212" s="25"/>
      <c r="D212" s="25" t="s">
        <v>21</v>
      </c>
      <c r="E212" s="1" t="s">
        <v>143</v>
      </c>
      <c r="I212" s="25" t="n">
        <v>345000</v>
      </c>
      <c r="J212" s="25"/>
      <c r="K212" s="25"/>
      <c r="L212" s="1" t="s">
        <v>100</v>
      </c>
      <c r="M212" s="43" t="n">
        <f aca="false">IF(B212="","",IF(ISNUMBER(I212),I212,IFERROR(VALUE(SUBSTITUTE(SUBSTITUTE(I212,"$",""),".","")),0)))</f>
        <v>345000</v>
      </c>
      <c r="N212" s="44" t="str">
        <f aca="false">IF(B212="","",PROPER(TRIM(D212)))</f>
        <v>Ximena</v>
      </c>
      <c r="O212" s="44" t="str">
        <f aca="false">IF(B212="","",IF(OR(ISNUMBER(SEARCH("AL DIA",L212)),ISNUMBER(SEARCH("AL DIA",F212))),"Al día",IF(OR(ISNUMBER(SEARCH("QUIETO",L212)),ISNUMBER(SEARCH("QUIETO",F212)),ISNUMBER(SEARCH("ESPERANDO",L212)),ISNUMBER(SEARCH("ESPERANDO",F212))),"Sin respuesta / Inactivo",IF(OR(ISNUMBER(SEARCH("PENDIENTE",L212)),ISNUMBER(SEARCH("PENDIENTE",F212)),ISNUMBER(SEARCH("COMPROMISO",F212)),ISNUMBER(SEARCH("COMPROMISO",L212)),ISNUMBER(SEARCH("PROCESO",F212)),ISNUMBER(SEARCH("LLAMAR",F212)),ISNUMBER(SEARCH("ABONO",J212)),EXACT(L212,"P"),EXACT(F212,"P")),"Pendiente / Compromiso","Sin gestionar"))))</f>
        <v>Pendiente / Compromiso</v>
      </c>
      <c r="P212" s="44" t="str">
        <f aca="false">IF(B212="","",IF(E212="","Sin definir",IF(ISNUMBER(SEARCH("ITIL",E212)),"ITIL",IF(ISNUMBER(SEARCH("ISO 27001",E212)),"ISO 27001",IF(ISNUMBER(SEARCH("ISO 42001",E212)),"ISO 42001",IF(ISNUMBER(SEARCH("ISO",E212)),"Otras ISO",IF(ISNUMBER(SEARCH("SCRUM",E212)),"SCRUM",IF(ISNUMBER(SEARCH("BRIDGE",E212)),"BRIDGE",IF(ISNUMBER(SEARCH("CDS",E212)),"CDS",IF(ISNUMBER(SEARCH("TOGAF",E212)),"TOGAF",IF(ISNUMBER(SEARCH("DPI",E212)),"DPI",IF(ISNUMBER(SEARCH("DITS",E212)),"DITS",IF(ISNUMBER(SEARCH("AGILE",E212)),"AGILE",IF(ISNUMBER(SEARCH("Ciberseguridad",E212)),"Ciberseguridad","Otros"))))))))))))))</f>
        <v>SCRUM</v>
      </c>
      <c r="Q212" s="44" t="str">
        <f aca="false">IF(B212="","",IF(ISNUMBER(K212),IF(K212&lt;=3,"1-3 meses",IF(K212&lt;=6,"4-6 meses","+6 meses")),"Sin dato registrado"))</f>
        <v>Sin dato registrado</v>
      </c>
      <c r="R212" s="44" t="n">
        <f aca="false">IF(OR(B212="",M212=""),"",RANK(M212,$M$3:$M$306)+COUNTIF($M$3:M212,M212)-1)</f>
        <v>54</v>
      </c>
    </row>
    <row r="213" customFormat="false" ht="15" hidden="false" customHeight="true" outlineLevel="0" collapsed="false">
      <c r="A213" s="49" t="n">
        <v>30</v>
      </c>
      <c r="B213" s="59" t="s">
        <v>144</v>
      </c>
      <c r="C213" s="25"/>
      <c r="D213" s="25" t="s">
        <v>21</v>
      </c>
      <c r="E213" s="1" t="s">
        <v>27</v>
      </c>
      <c r="I213" s="25" t="n">
        <v>860000</v>
      </c>
      <c r="J213" s="25" t="s">
        <v>145</v>
      </c>
      <c r="K213" s="25"/>
      <c r="L213" s="1" t="s">
        <v>100</v>
      </c>
      <c r="M213" s="43" t="n">
        <f aca="false">IF(B213="","",IF(ISNUMBER(I213),I213,IFERROR(VALUE(SUBSTITUTE(SUBSTITUTE(I213,"$",""),".","")),0)))</f>
        <v>860000</v>
      </c>
      <c r="N213" s="44" t="str">
        <f aca="false">IF(B213="","",PROPER(TRIM(D213)))</f>
        <v>Ximena</v>
      </c>
      <c r="O213" s="44" t="str">
        <f aca="false">IF(B213="","",IF(OR(ISNUMBER(SEARCH("AL DIA",L213)),ISNUMBER(SEARCH("AL DIA",F213))),"Al día",IF(OR(ISNUMBER(SEARCH("QUIETO",L213)),ISNUMBER(SEARCH("QUIETO",F213)),ISNUMBER(SEARCH("ESPERANDO",L213)),ISNUMBER(SEARCH("ESPERANDO",F213))),"Sin respuesta / Inactivo",IF(OR(ISNUMBER(SEARCH("PENDIENTE",L213)),ISNUMBER(SEARCH("PENDIENTE",F213)),ISNUMBER(SEARCH("COMPROMISO",F213)),ISNUMBER(SEARCH("COMPROMISO",L213)),ISNUMBER(SEARCH("PROCESO",F213)),ISNUMBER(SEARCH("LLAMAR",F213)),ISNUMBER(SEARCH("ABONO",J213)),EXACT(L213,"P"),EXACT(F213,"P")),"Pendiente / Compromiso","Sin gestionar"))))</f>
        <v>Pendiente / Compromiso</v>
      </c>
      <c r="P213" s="44" t="str">
        <f aca="false">IF(B213="","",IF(E213="","Sin definir",IF(ISNUMBER(SEARCH("ITIL",E213)),"ITIL",IF(ISNUMBER(SEARCH("ISO 27001",E213)),"ISO 27001",IF(ISNUMBER(SEARCH("ISO 42001",E213)),"ISO 42001",IF(ISNUMBER(SEARCH("ISO",E213)),"Otras ISO",IF(ISNUMBER(SEARCH("SCRUM",E213)),"SCRUM",IF(ISNUMBER(SEARCH("BRIDGE",E213)),"BRIDGE",IF(ISNUMBER(SEARCH("CDS",E213)),"CDS",IF(ISNUMBER(SEARCH("TOGAF",E213)),"TOGAF",IF(ISNUMBER(SEARCH("DPI",E213)),"DPI",IF(ISNUMBER(SEARCH("DITS",E213)),"DITS",IF(ISNUMBER(SEARCH("AGILE",E213)),"AGILE",IF(ISNUMBER(SEARCH("Ciberseguridad",E213)),"Ciberseguridad","Otros"))))))))))))))</f>
        <v>ISO 27001</v>
      </c>
      <c r="Q213" s="44" t="str">
        <f aca="false">IF(B213="","",IF(ISNUMBER(K213),IF(K213&lt;=3,"1-3 meses",IF(K213&lt;=6,"4-6 meses","+6 meses")),"Sin dato registrado"))</f>
        <v>Sin dato registrado</v>
      </c>
      <c r="R213" s="44" t="n">
        <f aca="false">IF(OR(B213="",M213=""),"",RANK(M213,$M$3:$M$306)+COUNTIF($M$3:M213,M213)-1)</f>
        <v>26</v>
      </c>
    </row>
    <row r="214" customFormat="false" ht="15" hidden="false" customHeight="true" outlineLevel="0" collapsed="false">
      <c r="A214" s="40" t="n">
        <v>31</v>
      </c>
      <c r="B214" s="41" t="s">
        <v>146</v>
      </c>
      <c r="C214" s="37"/>
      <c r="D214" s="37" t="s">
        <v>23</v>
      </c>
      <c r="E214" s="38" t="s">
        <v>147</v>
      </c>
      <c r="F214" s="38" t="s">
        <v>66</v>
      </c>
      <c r="G214" s="38" t="s">
        <v>148</v>
      </c>
      <c r="H214" s="38"/>
      <c r="I214" s="37" t="n">
        <v>975000</v>
      </c>
      <c r="J214" s="37" t="s">
        <v>113</v>
      </c>
      <c r="K214" s="37" t="s">
        <v>113</v>
      </c>
      <c r="L214" s="38" t="s">
        <v>130</v>
      </c>
      <c r="M214" s="43" t="n">
        <f aca="false">IF(B214="","",IF(ISNUMBER(I214),I214,IFERROR(VALUE(SUBSTITUTE(SUBSTITUTE(I214,"$",""),".","")),0)))</f>
        <v>975000</v>
      </c>
      <c r="N214" s="44" t="str">
        <f aca="false">IF(B214="","",PROPER(TRIM(D214)))</f>
        <v>Sebas</v>
      </c>
      <c r="O214" s="44" t="str">
        <f aca="false">IF(B214="","",IF(OR(ISNUMBER(SEARCH("AL DIA",L214)),ISNUMBER(SEARCH("AL DIA",F214))),"Al día",IF(OR(ISNUMBER(SEARCH("QUIETO",L214)),ISNUMBER(SEARCH("QUIETO",F214)),ISNUMBER(SEARCH("ESPERANDO",L214)),ISNUMBER(SEARCH("ESPERANDO",F214))),"Sin respuesta / Inactivo",IF(OR(ISNUMBER(SEARCH("PENDIENTE",L214)),ISNUMBER(SEARCH("PENDIENTE",F214)),ISNUMBER(SEARCH("COMPROMISO",F214)),ISNUMBER(SEARCH("COMPROMISO",L214)),ISNUMBER(SEARCH("PROCESO",F214)),ISNUMBER(SEARCH("LLAMAR",F214)),ISNUMBER(SEARCH("ABONO",J214)),EXACT(L214,"P"),EXACT(F214,"P")),"Pendiente / Compromiso","Sin gestionar"))))</f>
        <v>Al día</v>
      </c>
      <c r="P214" s="44" t="str">
        <f aca="false">IF(B214="","",IF(E214="","Sin definir",IF(ISNUMBER(SEARCH("ITIL",E214)),"ITIL",IF(ISNUMBER(SEARCH("ISO 27001",E214)),"ISO 27001",IF(ISNUMBER(SEARCH("ISO 42001",E214)),"ISO 42001",IF(ISNUMBER(SEARCH("ISO",E214)),"Otras ISO",IF(ISNUMBER(SEARCH("SCRUM",E214)),"SCRUM",IF(ISNUMBER(SEARCH("BRIDGE",E214)),"BRIDGE",IF(ISNUMBER(SEARCH("CDS",E214)),"CDS",IF(ISNUMBER(SEARCH("TOGAF",E214)),"TOGAF",IF(ISNUMBER(SEARCH("DPI",E214)),"DPI",IF(ISNUMBER(SEARCH("DITS",E214)),"DITS",IF(ISNUMBER(SEARCH("AGILE",E214)),"AGILE",IF(ISNUMBER(SEARCH("Ciberseguridad",E214)),"Ciberseguridad","Otros"))))))))))))))</f>
        <v>ITIL</v>
      </c>
      <c r="Q214" s="44" t="str">
        <f aca="false">IF(B214="","",IF(ISNUMBER(K214),IF(K214&lt;=3,"1-3 meses",IF(K214&lt;=6,"4-6 meses","+6 meses")),"Sin dato registrado"))</f>
        <v>Sin dato registrado</v>
      </c>
      <c r="R214" s="44" t="n">
        <f aca="false">IF(OR(B214="",M214=""),"",RANK(M214,$M$3:$M$306)+COUNTIF($M$3:M214,M214)-1)</f>
        <v>23</v>
      </c>
    </row>
    <row r="215" customFormat="false" ht="15" hidden="false" customHeight="true" outlineLevel="0" collapsed="false">
      <c r="A215" s="60" t="n">
        <v>32</v>
      </c>
      <c r="B215" s="61" t="s">
        <v>149</v>
      </c>
      <c r="C215" s="62"/>
      <c r="D215" s="62" t="s">
        <v>23</v>
      </c>
      <c r="E215" s="63" t="s">
        <v>31</v>
      </c>
      <c r="F215" s="1" t="s">
        <v>66</v>
      </c>
      <c r="G215" s="24" t="s">
        <v>148</v>
      </c>
      <c r="I215" s="25" t="n">
        <v>650000</v>
      </c>
      <c r="J215" s="25" t="s">
        <v>113</v>
      </c>
      <c r="K215" s="25" t="s">
        <v>113</v>
      </c>
      <c r="L215" s="1" t="s">
        <v>113</v>
      </c>
      <c r="M215" s="43" t="n">
        <f aca="false">IF(B215="","",IF(ISNUMBER(I215),I215,IFERROR(VALUE(SUBSTITUTE(SUBSTITUTE(I215,"$",""),".","")),0)))</f>
        <v>650000</v>
      </c>
      <c r="N215" s="44" t="str">
        <f aca="false">IF(B215="","",PROPER(TRIM(D215)))</f>
        <v>Sebas</v>
      </c>
      <c r="O215" s="44" t="str">
        <f aca="false">IF(B215="","",IF(OR(ISNUMBER(SEARCH("AL DIA",L215)),ISNUMBER(SEARCH("AL DIA",F215))),"Al día",IF(OR(ISNUMBER(SEARCH("QUIETO",L215)),ISNUMBER(SEARCH("QUIETO",F215)),ISNUMBER(SEARCH("ESPERANDO",L215)),ISNUMBER(SEARCH("ESPERANDO",F215))),"Sin respuesta / Inactivo",IF(OR(ISNUMBER(SEARCH("PENDIENTE",L215)),ISNUMBER(SEARCH("PENDIENTE",F215)),ISNUMBER(SEARCH("COMPROMISO",F215)),ISNUMBER(SEARCH("COMPROMISO",L215)),ISNUMBER(SEARCH("PROCESO",F215)),ISNUMBER(SEARCH("LLAMAR",F215)),ISNUMBER(SEARCH("ABONO",J215)),EXACT(L215,"P"),EXACT(F215,"P")),"Pendiente / Compromiso","Sin gestionar"))))</f>
        <v>Sin gestionar</v>
      </c>
      <c r="P215" s="44" t="str">
        <f aca="false">IF(B215="","",IF(E215="","Sin definir",IF(ISNUMBER(SEARCH("ITIL",E215)),"ITIL",IF(ISNUMBER(SEARCH("ISO 27001",E215)),"ISO 27001",IF(ISNUMBER(SEARCH("ISO 42001",E215)),"ISO 42001",IF(ISNUMBER(SEARCH("ISO",E215)),"Otras ISO",IF(ISNUMBER(SEARCH("SCRUM",E215)),"SCRUM",IF(ISNUMBER(SEARCH("BRIDGE",E215)),"BRIDGE",IF(ISNUMBER(SEARCH("CDS",E215)),"CDS",IF(ISNUMBER(SEARCH("TOGAF",E215)),"TOGAF",IF(ISNUMBER(SEARCH("DPI",E215)),"DPI",IF(ISNUMBER(SEARCH("DITS",E215)),"DITS",IF(ISNUMBER(SEARCH("AGILE",E215)),"AGILE",IF(ISNUMBER(SEARCH("Ciberseguridad",E215)),"Ciberseguridad","Otros"))))))))))))))</f>
        <v>BRIDGE</v>
      </c>
      <c r="Q215" s="44" t="str">
        <f aca="false">IF(B215="","",IF(ISNUMBER(K215),IF(K215&lt;=3,"1-3 meses",IF(K215&lt;=6,"4-6 meses","+6 meses")),"Sin dato registrado"))</f>
        <v>Sin dato registrado</v>
      </c>
      <c r="R215" s="44" t="n">
        <f aca="false">IF(OR(B215="",M215=""),"",RANK(M215,$M$3:$M$306)+COUNTIF($M$3:M215,M215)-1)</f>
        <v>38</v>
      </c>
    </row>
    <row r="216" customFormat="false" ht="15" hidden="false" customHeight="true" outlineLevel="0" collapsed="false">
      <c r="A216" s="50" t="n">
        <v>33</v>
      </c>
      <c r="B216" s="59" t="s">
        <v>150</v>
      </c>
      <c r="C216" s="25"/>
      <c r="D216" s="25" t="s">
        <v>22</v>
      </c>
      <c r="E216" s="1" t="s">
        <v>151</v>
      </c>
      <c r="F216" s="1" t="s">
        <v>66</v>
      </c>
      <c r="G216" s="24" t="s">
        <v>148</v>
      </c>
      <c r="I216" s="25" t="n">
        <v>1000000</v>
      </c>
      <c r="J216" s="25" t="s">
        <v>113</v>
      </c>
      <c r="K216" s="25" t="s">
        <v>113</v>
      </c>
      <c r="L216" s="1" t="s">
        <v>113</v>
      </c>
      <c r="M216" s="43" t="n">
        <f aca="false">IF(B216="","",IF(ISNUMBER(I216),I216,IFERROR(VALUE(SUBSTITUTE(SUBSTITUTE(I216,"$",""),".","")),0)))</f>
        <v>1000000</v>
      </c>
      <c r="N216" s="44" t="str">
        <f aca="false">IF(B216="","",PROPER(TRIM(D216)))</f>
        <v>Carolina</v>
      </c>
      <c r="O216" s="44" t="str">
        <f aca="false">IF(B216="","",IF(OR(ISNUMBER(SEARCH("AL DIA",L216)),ISNUMBER(SEARCH("AL DIA",F216))),"Al día",IF(OR(ISNUMBER(SEARCH("QUIETO",L216)),ISNUMBER(SEARCH("QUIETO",F216)),ISNUMBER(SEARCH("ESPERANDO",L216)),ISNUMBER(SEARCH("ESPERANDO",F216))),"Sin respuesta / Inactivo",IF(OR(ISNUMBER(SEARCH("PENDIENTE",L216)),ISNUMBER(SEARCH("PENDIENTE",F216)),ISNUMBER(SEARCH("COMPROMISO",F216)),ISNUMBER(SEARCH("COMPROMISO",L216)),ISNUMBER(SEARCH("PROCESO",F216)),ISNUMBER(SEARCH("LLAMAR",F216)),ISNUMBER(SEARCH("ABONO",J216)),EXACT(L216,"P"),EXACT(F216,"P")),"Pendiente / Compromiso","Sin gestionar"))))</f>
        <v>Sin gestionar</v>
      </c>
      <c r="P216" s="44" t="str">
        <f aca="false">IF(B216="","",IF(E216="","Sin definir",IF(ISNUMBER(SEARCH("ITIL",E216)),"ITIL",IF(ISNUMBER(SEARCH("ISO 27001",E216)),"ISO 27001",IF(ISNUMBER(SEARCH("ISO 42001",E216)),"ISO 42001",IF(ISNUMBER(SEARCH("ISO",E216)),"Otras ISO",IF(ISNUMBER(SEARCH("SCRUM",E216)),"SCRUM",IF(ISNUMBER(SEARCH("BRIDGE",E216)),"BRIDGE",IF(ISNUMBER(SEARCH("CDS",E216)),"CDS",IF(ISNUMBER(SEARCH("TOGAF",E216)),"TOGAF",IF(ISNUMBER(SEARCH("DPI",E216)),"DPI",IF(ISNUMBER(SEARCH("DITS",E216)),"DITS",IF(ISNUMBER(SEARCH("AGILE",E216)),"AGILE",IF(ISNUMBER(SEARCH("Ciberseguridad",E216)),"Ciberseguridad","Otros"))))))))))))))</f>
        <v>TOGAF</v>
      </c>
      <c r="Q216" s="44" t="str">
        <f aca="false">IF(B216="","",IF(ISNUMBER(K216),IF(K216&lt;=3,"1-3 meses",IF(K216&lt;=6,"4-6 meses","+6 meses")),"Sin dato registrado"))</f>
        <v>Sin dato registrado</v>
      </c>
      <c r="R216" s="44" t="n">
        <f aca="false">IF(OR(B216="",M216=""),"",RANK(M216,$M$3:$M$306)+COUNTIF($M$3:M216,M216)-1)</f>
        <v>20</v>
      </c>
    </row>
    <row r="217" customFormat="false" ht="15" hidden="false" customHeight="true" outlineLevel="0" collapsed="false">
      <c r="A217" s="49" t="n">
        <v>34</v>
      </c>
      <c r="B217" s="59" t="s">
        <v>152</v>
      </c>
      <c r="C217" s="25"/>
      <c r="D217" s="25" t="s">
        <v>22</v>
      </c>
      <c r="E217" s="1" t="s">
        <v>147</v>
      </c>
      <c r="F217" s="1" t="s">
        <v>66</v>
      </c>
      <c r="G217" s="24" t="s">
        <v>148</v>
      </c>
      <c r="I217" s="25" t="n">
        <v>250000</v>
      </c>
      <c r="J217" s="25" t="s">
        <v>113</v>
      </c>
      <c r="K217" s="25" t="s">
        <v>113</v>
      </c>
      <c r="L217" s="1" t="s">
        <v>113</v>
      </c>
      <c r="M217" s="43" t="n">
        <f aca="false">IF(B217="","",IF(ISNUMBER(I217),I217,IFERROR(VALUE(SUBSTITUTE(SUBSTITUTE(I217,"$",""),".","")),0)))</f>
        <v>250000</v>
      </c>
      <c r="N217" s="44" t="str">
        <f aca="false">IF(B217="","",PROPER(TRIM(D217)))</f>
        <v>Carolina</v>
      </c>
      <c r="O217" s="44" t="str">
        <f aca="false">IF(B217="","",IF(OR(ISNUMBER(SEARCH("AL DIA",L217)),ISNUMBER(SEARCH("AL DIA",F217))),"Al día",IF(OR(ISNUMBER(SEARCH("QUIETO",L217)),ISNUMBER(SEARCH("QUIETO",F217)),ISNUMBER(SEARCH("ESPERANDO",L217)),ISNUMBER(SEARCH("ESPERANDO",F217))),"Sin respuesta / Inactivo",IF(OR(ISNUMBER(SEARCH("PENDIENTE",L217)),ISNUMBER(SEARCH("PENDIENTE",F217)),ISNUMBER(SEARCH("COMPROMISO",F217)),ISNUMBER(SEARCH("COMPROMISO",L217)),ISNUMBER(SEARCH("PROCESO",F217)),ISNUMBER(SEARCH("LLAMAR",F217)),ISNUMBER(SEARCH("ABONO",J217)),EXACT(L217,"P"),EXACT(F217,"P")),"Pendiente / Compromiso","Sin gestionar"))))</f>
        <v>Sin gestionar</v>
      </c>
      <c r="P217" s="44" t="str">
        <f aca="false">IF(B217="","",IF(E217="","Sin definir",IF(ISNUMBER(SEARCH("ITIL",E217)),"ITIL",IF(ISNUMBER(SEARCH("ISO 27001",E217)),"ISO 27001",IF(ISNUMBER(SEARCH("ISO 42001",E217)),"ISO 42001",IF(ISNUMBER(SEARCH("ISO",E217)),"Otras ISO",IF(ISNUMBER(SEARCH("SCRUM",E217)),"SCRUM",IF(ISNUMBER(SEARCH("BRIDGE",E217)),"BRIDGE",IF(ISNUMBER(SEARCH("CDS",E217)),"CDS",IF(ISNUMBER(SEARCH("TOGAF",E217)),"TOGAF",IF(ISNUMBER(SEARCH("DPI",E217)),"DPI",IF(ISNUMBER(SEARCH("DITS",E217)),"DITS",IF(ISNUMBER(SEARCH("AGILE",E217)),"AGILE",IF(ISNUMBER(SEARCH("Ciberseguridad",E217)),"Ciberseguridad","Otros"))))))))))))))</f>
        <v>ITIL</v>
      </c>
      <c r="Q217" s="44" t="str">
        <f aca="false">IF(B217="","",IF(ISNUMBER(K217),IF(K217&lt;=3,"1-3 meses",IF(K217&lt;=6,"4-6 meses","+6 meses")),"Sin dato registrado"))</f>
        <v>Sin dato registrado</v>
      </c>
      <c r="R217" s="44" t="n">
        <f aca="false">IF(OR(B217="",M217=""),"",RANK(M217,$M$3:$M$306)+COUNTIF($M$3:M217,M217)-1)</f>
        <v>57</v>
      </c>
    </row>
    <row r="218" customFormat="false" ht="15" hidden="false" customHeight="true" outlineLevel="0" collapsed="false">
      <c r="A218" s="60" t="n">
        <v>35</v>
      </c>
      <c r="B218" s="61" t="s">
        <v>153</v>
      </c>
      <c r="C218" s="62"/>
      <c r="D218" s="62" t="s">
        <v>23</v>
      </c>
      <c r="E218" s="63" t="s">
        <v>31</v>
      </c>
      <c r="F218" s="63" t="s">
        <v>66</v>
      </c>
      <c r="G218" s="63" t="s">
        <v>148</v>
      </c>
      <c r="H218" s="63"/>
      <c r="I218" s="62" t="n">
        <v>660000</v>
      </c>
      <c r="J218" s="62" t="s">
        <v>113</v>
      </c>
      <c r="K218" s="62" t="s">
        <v>113</v>
      </c>
      <c r="L218" s="63" t="s">
        <v>113</v>
      </c>
      <c r="M218" s="43" t="n">
        <f aca="false">IF(B218="","",IF(ISNUMBER(I218),I218,IFERROR(VALUE(SUBSTITUTE(SUBSTITUTE(I218,"$",""),".","")),0)))</f>
        <v>660000</v>
      </c>
      <c r="N218" s="44" t="str">
        <f aca="false">IF(B218="","",PROPER(TRIM(D218)))</f>
        <v>Sebas</v>
      </c>
      <c r="O218" s="44" t="str">
        <f aca="false">IF(B218="","",IF(OR(ISNUMBER(SEARCH("AL DIA",L218)),ISNUMBER(SEARCH("AL DIA",F218))),"Al día",IF(OR(ISNUMBER(SEARCH("QUIETO",L218)),ISNUMBER(SEARCH("QUIETO",F218)),ISNUMBER(SEARCH("ESPERANDO",L218)),ISNUMBER(SEARCH("ESPERANDO",F218))),"Sin respuesta / Inactivo",IF(OR(ISNUMBER(SEARCH("PENDIENTE",L218)),ISNUMBER(SEARCH("PENDIENTE",F218)),ISNUMBER(SEARCH("COMPROMISO",F218)),ISNUMBER(SEARCH("COMPROMISO",L218)),ISNUMBER(SEARCH("PROCESO",F218)),ISNUMBER(SEARCH("LLAMAR",F218)),ISNUMBER(SEARCH("ABONO",J218)),EXACT(L218,"P"),EXACT(F218,"P")),"Pendiente / Compromiso","Sin gestionar"))))</f>
        <v>Sin gestionar</v>
      </c>
      <c r="P218" s="44" t="str">
        <f aca="false">IF(B218="","",IF(E218="","Sin definir",IF(ISNUMBER(SEARCH("ITIL",E218)),"ITIL",IF(ISNUMBER(SEARCH("ISO 27001",E218)),"ISO 27001",IF(ISNUMBER(SEARCH("ISO 42001",E218)),"ISO 42001",IF(ISNUMBER(SEARCH("ISO",E218)),"Otras ISO",IF(ISNUMBER(SEARCH("SCRUM",E218)),"SCRUM",IF(ISNUMBER(SEARCH("BRIDGE",E218)),"BRIDGE",IF(ISNUMBER(SEARCH("CDS",E218)),"CDS",IF(ISNUMBER(SEARCH("TOGAF",E218)),"TOGAF",IF(ISNUMBER(SEARCH("DPI",E218)),"DPI",IF(ISNUMBER(SEARCH("DITS",E218)),"DITS",IF(ISNUMBER(SEARCH("AGILE",E218)),"AGILE",IF(ISNUMBER(SEARCH("Ciberseguridad",E218)),"Ciberseguridad","Otros"))))))))))))))</f>
        <v>BRIDGE</v>
      </c>
      <c r="Q218" s="44" t="str">
        <f aca="false">IF(B218="","",IF(ISNUMBER(K218),IF(K218&lt;=3,"1-3 meses",IF(K218&lt;=6,"4-6 meses","+6 meses")),"Sin dato registrado"))</f>
        <v>Sin dato registrado</v>
      </c>
      <c r="R218" s="44" t="n">
        <f aca="false">IF(OR(B218="",M218=""),"",RANK(M218,$M$3:$M$306)+COUNTIF($M$3:M218,M218)-1)</f>
        <v>36</v>
      </c>
    </row>
    <row r="219" customFormat="false" ht="15" hidden="false" customHeight="true" outlineLevel="0" collapsed="false">
      <c r="A219" s="50" t="n">
        <v>37</v>
      </c>
      <c r="B219" s="59" t="s">
        <v>154</v>
      </c>
      <c r="C219" s="25"/>
      <c r="D219" s="25" t="s">
        <v>21</v>
      </c>
      <c r="E219" s="1" t="s">
        <v>147</v>
      </c>
      <c r="F219" s="1" t="s">
        <v>66</v>
      </c>
      <c r="G219" s="24" t="s">
        <v>155</v>
      </c>
      <c r="I219" s="64" t="n">
        <v>650000</v>
      </c>
      <c r="J219" s="56" t="n">
        <v>46203</v>
      </c>
      <c r="K219" s="25" t="s">
        <v>156</v>
      </c>
      <c r="M219" s="65" t="n">
        <f aca="false">IF(B219="","",IF(ISNUMBER(I219),I219,IFERROR(VALUE(SUBSTITUTE(SUBSTITUTE(I219,"$",""),".","")),0)))</f>
        <v>650000</v>
      </c>
      <c r="N219" s="44" t="str">
        <f aca="false">IF(B219="","",PROPER(TRIM(D219)))</f>
        <v>Ximena</v>
      </c>
      <c r="O219" s="44" t="str">
        <f aca="false">IF(B219="","",IF(OR(ISNUMBER(SEARCH("AL DIA",L219)),ISNUMBER(SEARCH("AL DIA",F219))),"Al día",IF(OR(ISNUMBER(SEARCH("QUIETO",L219)),ISNUMBER(SEARCH("QUIETO",F219)),ISNUMBER(SEARCH("ESPERANDO",L219)),ISNUMBER(SEARCH("ESPERANDO",F219))),"Sin respuesta / Inactivo",IF(OR(ISNUMBER(SEARCH("PENDIENTE",L219)),ISNUMBER(SEARCH("PENDIENTE",F219)),ISNUMBER(SEARCH("COMPROMISO",F219)),ISNUMBER(SEARCH("COMPROMISO",L219)),ISNUMBER(SEARCH("PROCESO",F219)),ISNUMBER(SEARCH("LLAMAR",F219)),ISNUMBER(SEARCH("ABONO",J219)),EXACT(L219,"P"),EXACT(F219,"P")),"Pendiente / Compromiso","Sin gestionar"))))</f>
        <v>Sin gestionar</v>
      </c>
      <c r="P219" s="44" t="str">
        <f aca="false">IF(B219="","",IF(E219="","Sin definir",IF(ISNUMBER(SEARCH("ITIL",E219)),"ITIL",IF(ISNUMBER(SEARCH("ISO 27001",E219)),"ISO 27001",IF(ISNUMBER(SEARCH("ISO 42001",E219)),"ISO 42001",IF(ISNUMBER(SEARCH("ISO",E219)),"Otras ISO",IF(ISNUMBER(SEARCH("SCRUM",E219)),"SCRUM",IF(ISNUMBER(SEARCH("BRIDGE",E219)),"BRIDGE",IF(ISNUMBER(SEARCH("CDS",E219)),"CDS",IF(ISNUMBER(SEARCH("TOGAF",E219)),"TOGAF",IF(ISNUMBER(SEARCH("DPI",E219)),"DPI",IF(ISNUMBER(SEARCH("DITS",E219)),"DITS",IF(ISNUMBER(SEARCH("AGILE",E219)),"AGILE",IF(ISNUMBER(SEARCH("Ciberseguridad",E219)),"Ciberseguridad","Otros"))))))))))))))</f>
        <v>ITIL</v>
      </c>
      <c r="Q219" s="44" t="str">
        <f aca="false">IF(B219="","",IF(ISNUMBER(K219),IF(K219&lt;=3,"1-3 meses",IF(K219&lt;=6,"4-6 meses","+6 meses")),"Sin dato registrado"))</f>
        <v>Sin dato registrado</v>
      </c>
      <c r="R219" s="44" t="n">
        <f aca="false">IF(OR(B219="",M219=""),"",RANK(M219,$M$3:$M$306)+COUNTIF($M$3:M219,M219)-1)</f>
        <v>39</v>
      </c>
    </row>
    <row r="220" customFormat="false" ht="15" hidden="false" customHeight="true" outlineLevel="0" collapsed="false">
      <c r="A220" s="49" t="n">
        <v>38</v>
      </c>
      <c r="B220" s="59" t="s">
        <v>157</v>
      </c>
      <c r="C220" s="25"/>
      <c r="D220" s="25" t="s">
        <v>21</v>
      </c>
      <c r="E220" s="1" t="s">
        <v>27</v>
      </c>
      <c r="F220" s="1" t="s">
        <v>66</v>
      </c>
      <c r="G220" s="24" t="s">
        <v>158</v>
      </c>
      <c r="I220" s="64" t="n">
        <v>890000</v>
      </c>
      <c r="J220" s="25" t="s">
        <v>113</v>
      </c>
      <c r="K220" s="25" t="s">
        <v>113</v>
      </c>
      <c r="L220" s="1" t="s">
        <v>113</v>
      </c>
      <c r="M220" s="65" t="n">
        <f aca="false">IF(B220="","",IF(ISNUMBER(I220),I220,IFERROR(VALUE(SUBSTITUTE(SUBSTITUTE(I220,"$",""),".","")),0)))</f>
        <v>890000</v>
      </c>
      <c r="N220" s="44" t="str">
        <f aca="false">IF(B220="","",PROPER(TRIM(D220)))</f>
        <v>Ximena</v>
      </c>
      <c r="O220" s="44" t="str">
        <f aca="false">IF(B220="","",IF(OR(ISNUMBER(SEARCH("AL DIA",L220)),ISNUMBER(SEARCH("AL DIA",F220))),"Al día",IF(OR(ISNUMBER(SEARCH("QUIETO",L220)),ISNUMBER(SEARCH("QUIETO",F220)),ISNUMBER(SEARCH("ESPERANDO",L220)),ISNUMBER(SEARCH("ESPERANDO",F220))),"Sin respuesta / Inactivo",IF(OR(ISNUMBER(SEARCH("PENDIENTE",L220)),ISNUMBER(SEARCH("PENDIENTE",F220)),ISNUMBER(SEARCH("COMPROMISO",F220)),ISNUMBER(SEARCH("COMPROMISO",L220)),ISNUMBER(SEARCH("PROCESO",F220)),ISNUMBER(SEARCH("LLAMAR",F220)),ISNUMBER(SEARCH("ABONO",J220)),EXACT(L220,"P"),EXACT(F220,"P")),"Pendiente / Compromiso","Sin gestionar"))))</f>
        <v>Sin gestionar</v>
      </c>
      <c r="P220" s="44" t="str">
        <f aca="false">IF(B220="","",IF(E220="","Sin definir",IF(ISNUMBER(SEARCH("ITIL",E220)),"ITIL",IF(ISNUMBER(SEARCH("ISO 27001",E220)),"ISO 27001",IF(ISNUMBER(SEARCH("ISO 42001",E220)),"ISO 42001",IF(ISNUMBER(SEARCH("ISO",E220)),"Otras ISO",IF(ISNUMBER(SEARCH("SCRUM",E220)),"SCRUM",IF(ISNUMBER(SEARCH("BRIDGE",E220)),"BRIDGE",IF(ISNUMBER(SEARCH("CDS",E220)),"CDS",IF(ISNUMBER(SEARCH("TOGAF",E220)),"TOGAF",IF(ISNUMBER(SEARCH("DPI",E220)),"DPI",IF(ISNUMBER(SEARCH("DITS",E220)),"DITS",IF(ISNUMBER(SEARCH("AGILE",E220)),"AGILE",IF(ISNUMBER(SEARCH("Ciberseguridad",E220)),"Ciberseguridad","Otros"))))))))))))))</f>
        <v>ISO 27001</v>
      </c>
      <c r="Q220" s="44" t="str">
        <f aca="false">IF(B220="","",IF(ISNUMBER(K220),IF(K220&lt;=3,"1-3 meses",IF(K220&lt;=6,"4-6 meses","+6 meses")),"Sin dato registrado"))</f>
        <v>Sin dato registrado</v>
      </c>
      <c r="R220" s="44" t="n">
        <f aca="false">IF(OR(B220="",M220=""),"",RANK(M220,$M$3:$M$306)+COUNTIF($M$3:M220,M220)-1)</f>
        <v>25</v>
      </c>
    </row>
    <row r="221" customFormat="false" ht="15" hidden="false" customHeight="true" outlineLevel="0" collapsed="false">
      <c r="A221" s="50" t="n">
        <v>39</v>
      </c>
      <c r="B221" s="59" t="s">
        <v>159</v>
      </c>
      <c r="C221" s="25"/>
      <c r="D221" s="25" t="s">
        <v>21</v>
      </c>
      <c r="E221" s="1" t="s">
        <v>27</v>
      </c>
      <c r="F221" s="1" t="s">
        <v>66</v>
      </c>
      <c r="G221" s="24" t="s">
        <v>158</v>
      </c>
      <c r="I221" s="64" t="n">
        <v>790000</v>
      </c>
      <c r="J221" s="25"/>
      <c r="K221" s="25"/>
      <c r="M221" s="65" t="n">
        <f aca="false">IF(B221="","",IF(ISNUMBER(I221),I221,IFERROR(VALUE(SUBSTITUTE(SUBSTITUTE(I221,"$",""),".","")),0)))</f>
        <v>790000</v>
      </c>
      <c r="N221" s="44" t="str">
        <f aca="false">IF(B221="","",PROPER(TRIM(D221)))</f>
        <v>Ximena</v>
      </c>
      <c r="O221" s="44" t="str">
        <f aca="false">IF(B221="","",IF(OR(ISNUMBER(SEARCH("AL DIA",L221)),ISNUMBER(SEARCH("AL DIA",F221))),"Al día",IF(OR(ISNUMBER(SEARCH("QUIETO",L221)),ISNUMBER(SEARCH("QUIETO",F221)),ISNUMBER(SEARCH("ESPERANDO",L221)),ISNUMBER(SEARCH("ESPERANDO",F221))),"Sin respuesta / Inactivo",IF(OR(ISNUMBER(SEARCH("PENDIENTE",L221)),ISNUMBER(SEARCH("PENDIENTE",F221)),ISNUMBER(SEARCH("COMPROMISO",F221)),ISNUMBER(SEARCH("COMPROMISO",L221)),ISNUMBER(SEARCH("PROCESO",F221)),ISNUMBER(SEARCH("LLAMAR",F221)),ISNUMBER(SEARCH("ABONO",J221)),EXACT(L221,"P"),EXACT(F221,"P")),"Pendiente / Compromiso","Sin gestionar"))))</f>
        <v>Sin gestionar</v>
      </c>
      <c r="P221" s="44" t="str">
        <f aca="false">IF(B221="","",IF(E221="","Sin definir",IF(ISNUMBER(SEARCH("ITIL",E221)),"ITIL",IF(ISNUMBER(SEARCH("ISO 27001",E221)),"ISO 27001",IF(ISNUMBER(SEARCH("ISO 42001",E221)),"ISO 42001",IF(ISNUMBER(SEARCH("ISO",E221)),"Otras ISO",IF(ISNUMBER(SEARCH("SCRUM",E221)),"SCRUM",IF(ISNUMBER(SEARCH("BRIDGE",E221)),"BRIDGE",IF(ISNUMBER(SEARCH("CDS",E221)),"CDS",IF(ISNUMBER(SEARCH("TOGAF",E221)),"TOGAF",IF(ISNUMBER(SEARCH("DPI",E221)),"DPI",IF(ISNUMBER(SEARCH("DITS",E221)),"DITS",IF(ISNUMBER(SEARCH("AGILE",E221)),"AGILE",IF(ISNUMBER(SEARCH("Ciberseguridad",E221)),"Ciberseguridad","Otros"))))))))))))))</f>
        <v>ISO 27001</v>
      </c>
      <c r="Q221" s="44" t="str">
        <f aca="false">IF(B221="","",IF(ISNUMBER(K221),IF(K221&lt;=3,"1-3 meses",IF(K221&lt;=6,"4-6 meses","+6 meses")),"Sin dato registrado"))</f>
        <v>Sin dato registrado</v>
      </c>
      <c r="R221" s="44" t="n">
        <f aca="false">IF(OR(B221="",M221=""),"",RANK(M221,$M$3:$M$306)+COUNTIF($M$3:M221,M221)-1)</f>
        <v>34</v>
      </c>
    </row>
    <row r="222" customFormat="false" ht="15" hidden="false" customHeight="true" outlineLevel="0" collapsed="false">
      <c r="A222" s="49" t="n">
        <v>40</v>
      </c>
      <c r="B222" s="23" t="s">
        <v>160</v>
      </c>
      <c r="C222" s="25"/>
      <c r="D222" s="25" t="s">
        <v>21</v>
      </c>
      <c r="E222" s="1" t="s">
        <v>161</v>
      </c>
      <c r="F222" s="1" t="s">
        <v>66</v>
      </c>
      <c r="G222" s="24" t="s">
        <v>162</v>
      </c>
      <c r="I222" s="64" t="n">
        <v>390000</v>
      </c>
      <c r="J222" s="25"/>
      <c r="K222" s="25"/>
      <c r="M222" s="65" t="n">
        <f aca="false">IF(B222="","",IF(ISNUMBER(I222),I222,IFERROR(VALUE(SUBSTITUTE(SUBSTITUTE(I222,"$",""),".","")),0)))</f>
        <v>390000</v>
      </c>
      <c r="N222" s="44" t="str">
        <f aca="false">IF(B222="","",PROPER(TRIM(D222)))</f>
        <v>Ximena</v>
      </c>
      <c r="O222" s="44" t="str">
        <f aca="false">IF(B222="","",IF(OR(ISNUMBER(SEARCH("AL DIA",L222)),ISNUMBER(SEARCH("AL DIA",F222))),"Al día",IF(OR(ISNUMBER(SEARCH("QUIETO",L222)),ISNUMBER(SEARCH("QUIETO",F222)),ISNUMBER(SEARCH("ESPERANDO",L222)),ISNUMBER(SEARCH("ESPERANDO",F222))),"Sin respuesta / Inactivo",IF(OR(ISNUMBER(SEARCH("PENDIENTE",L222)),ISNUMBER(SEARCH("PENDIENTE",F222)),ISNUMBER(SEARCH("COMPROMISO",F222)),ISNUMBER(SEARCH("COMPROMISO",L222)),ISNUMBER(SEARCH("PROCESO",F222)),ISNUMBER(SEARCH("LLAMAR",F222)),ISNUMBER(SEARCH("ABONO",J222)),EXACT(L222,"P"),EXACT(F222,"P")),"Pendiente / Compromiso","Sin gestionar"))))</f>
        <v>Sin gestionar</v>
      </c>
      <c r="P222" s="44" t="str">
        <f aca="false">IF(B222="","",IF(E222="","Sin definir",IF(ISNUMBER(SEARCH("ITIL",E222)),"ITIL",IF(ISNUMBER(SEARCH("ISO 27001",E222)),"ISO 27001",IF(ISNUMBER(SEARCH("ISO 42001",E222)),"ISO 42001",IF(ISNUMBER(SEARCH("ISO",E222)),"Otras ISO",IF(ISNUMBER(SEARCH("SCRUM",E222)),"SCRUM",IF(ISNUMBER(SEARCH("BRIDGE",E222)),"BRIDGE",IF(ISNUMBER(SEARCH("CDS",E222)),"CDS",IF(ISNUMBER(SEARCH("TOGAF",E222)),"TOGAF",IF(ISNUMBER(SEARCH("DPI",E222)),"DPI",IF(ISNUMBER(SEARCH("DITS",E222)),"DITS",IF(ISNUMBER(SEARCH("AGILE",E222)),"AGILE",IF(ISNUMBER(SEARCH("Ciberseguridad",E222)),"Ciberseguridad","Otros"))))))))))))))</f>
        <v>AGILE</v>
      </c>
      <c r="Q222" s="44" t="str">
        <f aca="false">IF(B222="","",IF(ISNUMBER(K222),IF(K222&lt;=3,"1-3 meses",IF(K222&lt;=6,"4-6 meses","+6 meses")),"Sin dato registrado"))</f>
        <v>Sin dato registrado</v>
      </c>
      <c r="R222" s="44" t="n">
        <f aca="false">IF(OR(B222="",M222=""),"",RANK(M222,$M$3:$M$306)+COUNTIF($M$3:M222,M222)-1)</f>
        <v>52</v>
      </c>
    </row>
    <row r="223" customFormat="false" ht="15" hidden="false" customHeight="true" outlineLevel="0" collapsed="false">
      <c r="A223" s="50"/>
      <c r="B223" s="59" t="s">
        <v>163</v>
      </c>
      <c r="C223" s="25"/>
      <c r="D223" s="25" t="s">
        <v>21</v>
      </c>
      <c r="E223" s="1" t="s">
        <v>28</v>
      </c>
      <c r="F223" s="1" t="s">
        <v>66</v>
      </c>
      <c r="G223" s="24" t="s">
        <v>164</v>
      </c>
      <c r="I223" s="24"/>
      <c r="J223" s="25"/>
      <c r="K223" s="25"/>
      <c r="M223" s="44" t="n">
        <f aca="false">IF(B223="","",IF(ISNUMBER(I223),I223,IFERROR(VALUE(SUBSTITUTE(SUBSTITUTE(I223,"$",""),".","")),0)))</f>
        <v>0</v>
      </c>
      <c r="N223" s="44" t="str">
        <f aca="false">IF(B223="","",PROPER(TRIM(D223)))</f>
        <v>Ximena</v>
      </c>
      <c r="O223" s="44" t="str">
        <f aca="false">IF(B223="","",IF(OR(ISNUMBER(SEARCH("AL DIA",L223)),ISNUMBER(SEARCH("AL DIA",F223))),"Al día",IF(OR(ISNUMBER(SEARCH("QUIETO",L223)),ISNUMBER(SEARCH("QUIETO",F223)),ISNUMBER(SEARCH("ESPERANDO",L223)),ISNUMBER(SEARCH("ESPERANDO",F223))),"Sin respuesta / Inactivo",IF(OR(ISNUMBER(SEARCH("PENDIENTE",L223)),ISNUMBER(SEARCH("PENDIENTE",F223)),ISNUMBER(SEARCH("COMPROMISO",F223)),ISNUMBER(SEARCH("COMPROMISO",L223)),ISNUMBER(SEARCH("PROCESO",F223)),ISNUMBER(SEARCH("LLAMAR",F223)),ISNUMBER(SEARCH("ABONO",J223)),EXACT(L223,"P"),EXACT(F223,"P")),"Pendiente / Compromiso","Sin gestionar"))))</f>
        <v>Sin gestionar</v>
      </c>
      <c r="P223" s="44" t="str">
        <f aca="false">IF(B223="","",IF(E223="","Sin definir",IF(ISNUMBER(SEARCH("ITIL",E223)),"ITIL",IF(ISNUMBER(SEARCH("ISO 27001",E223)),"ISO 27001",IF(ISNUMBER(SEARCH("ISO 42001",E223)),"ISO 42001",IF(ISNUMBER(SEARCH("ISO",E223)),"Otras ISO",IF(ISNUMBER(SEARCH("SCRUM",E223)),"SCRUM",IF(ISNUMBER(SEARCH("BRIDGE",E223)),"BRIDGE",IF(ISNUMBER(SEARCH("CDS",E223)),"CDS",IF(ISNUMBER(SEARCH("TOGAF",E223)),"TOGAF",IF(ISNUMBER(SEARCH("DPI",E223)),"DPI",IF(ISNUMBER(SEARCH("DITS",E223)),"DITS",IF(ISNUMBER(SEARCH("AGILE",E223)),"AGILE",IF(ISNUMBER(SEARCH("Ciberseguridad",E223)),"Ciberseguridad","Otros"))))))))))))))</f>
        <v>ISO 42001</v>
      </c>
      <c r="Q223" s="44" t="str">
        <f aca="false">IF(B223="","",IF(ISNUMBER(K223),IF(K223&lt;=3,"1-3 meses",IF(K223&lt;=6,"4-6 meses","+6 meses")),"Sin dato registrado"))</f>
        <v>Sin dato registrado</v>
      </c>
      <c r="R223" s="44" t="n">
        <f aca="false">IF(OR(B223="",M223=""),"",RANK(M223,$M$3:$M$306)+COUNTIF($M$3:M223,M223)-1)</f>
        <v>64</v>
      </c>
    </row>
    <row r="224" customFormat="false" ht="15" hidden="false" customHeight="true" outlineLevel="0" collapsed="false">
      <c r="A224" s="49"/>
      <c r="B224" s="59" t="s">
        <v>165</v>
      </c>
      <c r="C224" s="25"/>
      <c r="D224" s="25" t="s">
        <v>21</v>
      </c>
      <c r="E224" s="1" t="s">
        <v>26</v>
      </c>
      <c r="I224" s="64" t="n">
        <v>650000</v>
      </c>
      <c r="J224" s="25"/>
      <c r="K224" s="25"/>
      <c r="M224" s="65" t="n">
        <f aca="false">IF(B224="","",IF(ISNUMBER(I224),I224,IFERROR(VALUE(SUBSTITUTE(SUBSTITUTE(I224,"$",""),".","")),0)))</f>
        <v>650000</v>
      </c>
      <c r="N224" s="44" t="str">
        <f aca="false">IF(B224="","",PROPER(TRIM(D224)))</f>
        <v>Ximena</v>
      </c>
      <c r="O224" s="44" t="str">
        <f aca="false">IF(B224="","",IF(OR(ISNUMBER(SEARCH("AL DIA",L224)),ISNUMBER(SEARCH("AL DIA",F224))),"Al día",IF(OR(ISNUMBER(SEARCH("QUIETO",L224)),ISNUMBER(SEARCH("QUIETO",F224)),ISNUMBER(SEARCH("ESPERANDO",L224)),ISNUMBER(SEARCH("ESPERANDO",F224))),"Sin respuesta / Inactivo",IF(OR(ISNUMBER(SEARCH("PENDIENTE",L224)),ISNUMBER(SEARCH("PENDIENTE",F224)),ISNUMBER(SEARCH("COMPROMISO",F224)),ISNUMBER(SEARCH("COMPROMISO",L224)),ISNUMBER(SEARCH("PROCESO",F224)),ISNUMBER(SEARCH("LLAMAR",F224)),ISNUMBER(SEARCH("ABONO",J224)),EXACT(L224,"P"),EXACT(F224,"P")),"Pendiente / Compromiso","Sin gestionar"))))</f>
        <v>Sin gestionar</v>
      </c>
      <c r="P224" s="44" t="str">
        <f aca="false">IF(B224="","",IF(E224="","Sin definir",IF(ISNUMBER(SEARCH("ITIL",E224)),"ITIL",IF(ISNUMBER(SEARCH("ISO 27001",E224)),"ISO 27001",IF(ISNUMBER(SEARCH("ISO 42001",E224)),"ISO 42001",IF(ISNUMBER(SEARCH("ISO",E224)),"Otras ISO",IF(ISNUMBER(SEARCH("SCRUM",E224)),"SCRUM",IF(ISNUMBER(SEARCH("BRIDGE",E224)),"BRIDGE",IF(ISNUMBER(SEARCH("CDS",E224)),"CDS",IF(ISNUMBER(SEARCH("TOGAF",E224)),"TOGAF",IF(ISNUMBER(SEARCH("DPI",E224)),"DPI",IF(ISNUMBER(SEARCH("DITS",E224)),"DITS",IF(ISNUMBER(SEARCH("AGILE",E224)),"AGILE",IF(ISNUMBER(SEARCH("Ciberseguridad",E224)),"Ciberseguridad","Otros"))))))))))))))</f>
        <v>ITIL</v>
      </c>
      <c r="Q224" s="44" t="str">
        <f aca="false">IF(B224="","",IF(ISNUMBER(K224),IF(K224&lt;=3,"1-3 meses",IF(K224&lt;=6,"4-6 meses","+6 meses")),"Sin dato registrado"))</f>
        <v>Sin dato registrado</v>
      </c>
      <c r="R224" s="44" t="n">
        <f aca="false">IF(OR(B224="",M224=""),"",RANK(M224,$M$3:$M$306)+COUNTIF($M$3:M224,M224)-1)</f>
        <v>40</v>
      </c>
    </row>
    <row r="225" customFormat="false" ht="15" hidden="false" customHeight="true" outlineLevel="0" collapsed="false">
      <c r="A225" s="50"/>
      <c r="B225" s="59" t="s">
        <v>166</v>
      </c>
      <c r="C225" s="25"/>
      <c r="D225" s="25" t="s">
        <v>23</v>
      </c>
      <c r="E225" s="1" t="s">
        <v>167</v>
      </c>
      <c r="F225" s="1" t="s">
        <v>66</v>
      </c>
      <c r="G225" s="24" t="s">
        <v>168</v>
      </c>
      <c r="I225" s="64" t="n">
        <v>600000</v>
      </c>
      <c r="J225" s="25"/>
      <c r="K225" s="25"/>
      <c r="M225" s="65" t="n">
        <f aca="false">IF(B225="","",IF(ISNUMBER(I225),I225,IFERROR(VALUE(SUBSTITUTE(SUBSTITUTE(I225,"$",""),".","")),0)))</f>
        <v>600000</v>
      </c>
      <c r="N225" s="44" t="str">
        <f aca="false">IF(B225="","",PROPER(TRIM(D225)))</f>
        <v>Sebas</v>
      </c>
      <c r="O225" s="44" t="str">
        <f aca="false">IF(B225="","",IF(OR(ISNUMBER(SEARCH("AL DIA",L225)),ISNUMBER(SEARCH("AL DIA",F225))),"Al día",IF(OR(ISNUMBER(SEARCH("QUIETO",L225)),ISNUMBER(SEARCH("QUIETO",F225)),ISNUMBER(SEARCH("ESPERANDO",L225)),ISNUMBER(SEARCH("ESPERANDO",F225))),"Sin respuesta / Inactivo",IF(OR(ISNUMBER(SEARCH("PENDIENTE",L225)),ISNUMBER(SEARCH("PENDIENTE",F225)),ISNUMBER(SEARCH("COMPROMISO",F225)),ISNUMBER(SEARCH("COMPROMISO",L225)),ISNUMBER(SEARCH("PROCESO",F225)),ISNUMBER(SEARCH("LLAMAR",F225)),ISNUMBER(SEARCH("ABONO",J225)),EXACT(L225,"P"),EXACT(F225,"P")),"Pendiente / Compromiso","Sin gestionar"))))</f>
        <v>Sin gestionar</v>
      </c>
      <c r="P225" s="44" t="str">
        <f aca="false">IF(B225="","",IF(E225="","Sin definir",IF(ISNUMBER(SEARCH("ITIL",E225)),"ITIL",IF(ISNUMBER(SEARCH("ISO 27001",E225)),"ISO 27001",IF(ISNUMBER(SEARCH("ISO 42001",E225)),"ISO 42001",IF(ISNUMBER(SEARCH("ISO",E225)),"Otras ISO",IF(ISNUMBER(SEARCH("SCRUM",E225)),"SCRUM",IF(ISNUMBER(SEARCH("BRIDGE",E225)),"BRIDGE",IF(ISNUMBER(SEARCH("CDS",E225)),"CDS",IF(ISNUMBER(SEARCH("TOGAF",E225)),"TOGAF",IF(ISNUMBER(SEARCH("DPI",E225)),"DPI",IF(ISNUMBER(SEARCH("DITS",E225)),"DITS",IF(ISNUMBER(SEARCH("AGILE",E225)),"AGILE",IF(ISNUMBER(SEARCH("Ciberseguridad",E225)),"Ciberseguridad","Otros"))))))))))))))</f>
        <v>ISO 27001</v>
      </c>
      <c r="Q225" s="44" t="str">
        <f aca="false">IF(B225="","",IF(ISNUMBER(K225),IF(K225&lt;=3,"1-3 meses",IF(K225&lt;=6,"4-6 meses","+6 meses")),"Sin dato registrado"))</f>
        <v>Sin dato registrado</v>
      </c>
      <c r="R225" s="44" t="n">
        <f aca="false">IF(OR(B225="",M225=""),"",RANK(M225,$M$3:$M$306)+COUNTIF($M$3:M225,M225)-1)</f>
        <v>44</v>
      </c>
    </row>
    <row r="226" customFormat="false" ht="15" hidden="false" customHeight="true" outlineLevel="0" collapsed="false">
      <c r="A226" s="49"/>
      <c r="B226" s="59" t="s">
        <v>169</v>
      </c>
      <c r="C226" s="25"/>
      <c r="D226" s="25" t="s">
        <v>22</v>
      </c>
      <c r="E226" s="1" t="s">
        <v>31</v>
      </c>
      <c r="F226" s="1" t="s">
        <v>66</v>
      </c>
      <c r="I226" s="64" t="n">
        <v>250000</v>
      </c>
      <c r="J226" s="25"/>
      <c r="K226" s="25"/>
      <c r="M226" s="65" t="n">
        <f aca="false">IF(B226="","",IF(ISNUMBER(I226),I226,IFERROR(VALUE(SUBSTITUTE(SUBSTITUTE(I226,"$",""),".","")),0)))</f>
        <v>250000</v>
      </c>
      <c r="N226" s="44" t="str">
        <f aca="false">IF(B226="","",PROPER(TRIM(D226)))</f>
        <v>Carolina</v>
      </c>
      <c r="O226" s="44" t="str">
        <f aca="false">IF(B226="","",IF(OR(ISNUMBER(SEARCH("AL DIA",L226)),ISNUMBER(SEARCH("AL DIA",F226))),"Al día",IF(OR(ISNUMBER(SEARCH("QUIETO",L226)),ISNUMBER(SEARCH("QUIETO",F226)),ISNUMBER(SEARCH("ESPERANDO",L226)),ISNUMBER(SEARCH("ESPERANDO",F226))),"Sin respuesta / Inactivo",IF(OR(ISNUMBER(SEARCH("PENDIENTE",L226)),ISNUMBER(SEARCH("PENDIENTE",F226)),ISNUMBER(SEARCH("COMPROMISO",F226)),ISNUMBER(SEARCH("COMPROMISO",L226)),ISNUMBER(SEARCH("PROCESO",F226)),ISNUMBER(SEARCH("LLAMAR",F226)),ISNUMBER(SEARCH("ABONO",J226)),EXACT(L226,"P"),EXACT(F226,"P")),"Pendiente / Compromiso","Sin gestionar"))))</f>
        <v>Sin gestionar</v>
      </c>
      <c r="P226" s="44" t="str">
        <f aca="false">IF(B226="","",IF(E226="","Sin definir",IF(ISNUMBER(SEARCH("ITIL",E226)),"ITIL",IF(ISNUMBER(SEARCH("ISO 27001",E226)),"ISO 27001",IF(ISNUMBER(SEARCH("ISO 42001",E226)),"ISO 42001",IF(ISNUMBER(SEARCH("ISO",E226)),"Otras ISO",IF(ISNUMBER(SEARCH("SCRUM",E226)),"SCRUM",IF(ISNUMBER(SEARCH("BRIDGE",E226)),"BRIDGE",IF(ISNUMBER(SEARCH("CDS",E226)),"CDS",IF(ISNUMBER(SEARCH("TOGAF",E226)),"TOGAF",IF(ISNUMBER(SEARCH("DPI",E226)),"DPI",IF(ISNUMBER(SEARCH("DITS",E226)),"DITS",IF(ISNUMBER(SEARCH("AGILE",E226)),"AGILE",IF(ISNUMBER(SEARCH("Ciberseguridad",E226)),"Ciberseguridad","Otros"))))))))))))))</f>
        <v>BRIDGE</v>
      </c>
      <c r="Q226" s="44" t="str">
        <f aca="false">IF(B226="","",IF(ISNUMBER(K226),IF(K226&lt;=3,"1-3 meses",IF(K226&lt;=6,"4-6 meses","+6 meses")),"Sin dato registrado"))</f>
        <v>Sin dato registrado</v>
      </c>
      <c r="R226" s="44" t="n">
        <f aca="false">IF(OR(B226="",M226=""),"",RANK(M226,$M$3:$M$306)+COUNTIF($M$3:M226,M226)-1)</f>
        <v>58</v>
      </c>
    </row>
    <row r="227" customFormat="false" ht="15" hidden="false" customHeight="true" outlineLevel="0" collapsed="false">
      <c r="A227" s="50"/>
      <c r="B227" s="1" t="s">
        <v>170</v>
      </c>
      <c r="C227" s="57"/>
      <c r="D227" s="25" t="s">
        <v>22</v>
      </c>
      <c r="E227" s="1" t="s">
        <v>31</v>
      </c>
      <c r="F227" s="1" t="s">
        <v>66</v>
      </c>
      <c r="I227" s="25" t="n">
        <v>400000</v>
      </c>
      <c r="M227" s="43" t="n">
        <f aca="false">IF(B227="","",IF(ISNUMBER(I227),I227,IFERROR(VALUE(SUBSTITUTE(SUBSTITUTE(I227,"$",""),".","")),0)))</f>
        <v>400000</v>
      </c>
      <c r="N227" s="44" t="str">
        <f aca="false">IF(B227="","",PROPER(TRIM(D227)))</f>
        <v>Carolina</v>
      </c>
      <c r="O227" s="44" t="str">
        <f aca="false">IF(B227="","",IF(OR(ISNUMBER(SEARCH("AL DIA",L227)),ISNUMBER(SEARCH("AL DIA",F227))),"Al día",IF(OR(ISNUMBER(SEARCH("QUIETO",L227)),ISNUMBER(SEARCH("QUIETO",F227)),ISNUMBER(SEARCH("ESPERANDO",L227)),ISNUMBER(SEARCH("ESPERANDO",F227))),"Sin respuesta / Inactivo",IF(OR(ISNUMBER(SEARCH("PENDIENTE",L227)),ISNUMBER(SEARCH("PENDIENTE",F227)),ISNUMBER(SEARCH("COMPROMISO",F227)),ISNUMBER(SEARCH("COMPROMISO",L227)),ISNUMBER(SEARCH("PROCESO",F227)),ISNUMBER(SEARCH("LLAMAR",F227)),ISNUMBER(SEARCH("ABONO",J227)),EXACT(L227,"P"),EXACT(F227,"P")),"Pendiente / Compromiso","Sin gestionar"))))</f>
        <v>Sin gestionar</v>
      </c>
      <c r="P227" s="44" t="str">
        <f aca="false">IF(B227="","",IF(E227="","Sin definir",IF(ISNUMBER(SEARCH("ITIL",E227)),"ITIL",IF(ISNUMBER(SEARCH("ISO 27001",E227)),"ISO 27001",IF(ISNUMBER(SEARCH("ISO 42001",E227)),"ISO 42001",IF(ISNUMBER(SEARCH("ISO",E227)),"Otras ISO",IF(ISNUMBER(SEARCH("SCRUM",E227)),"SCRUM",IF(ISNUMBER(SEARCH("BRIDGE",E227)),"BRIDGE",IF(ISNUMBER(SEARCH("CDS",E227)),"CDS",IF(ISNUMBER(SEARCH("TOGAF",E227)),"TOGAF",IF(ISNUMBER(SEARCH("DPI",E227)),"DPI",IF(ISNUMBER(SEARCH("DITS",E227)),"DITS",IF(ISNUMBER(SEARCH("AGILE",E227)),"AGILE",IF(ISNUMBER(SEARCH("Ciberseguridad",E227)),"Ciberseguridad","Otros"))))))))))))))</f>
        <v>BRIDGE</v>
      </c>
      <c r="Q227" s="44" t="str">
        <f aca="false">IF(B227="","",IF(ISNUMBER(K227),IF(K227&lt;=3,"1-3 meses",IF(K227&lt;=6,"4-6 meses","+6 meses")),"Sin dato registrado"))</f>
        <v>Sin dato registrado</v>
      </c>
      <c r="R227" s="44" t="n">
        <f aca="false">IF(OR(B227="",M227=""),"",RANK(M227,$M$3:$M$306)+COUNTIF($M$3:M227,M227)-1)</f>
        <v>49</v>
      </c>
    </row>
    <row r="228" customFormat="false" ht="15" hidden="false" customHeight="true" outlineLevel="0" collapsed="false">
      <c r="A228" s="49"/>
      <c r="B228" s="1" t="s">
        <v>171</v>
      </c>
      <c r="C228" s="57"/>
      <c r="D228" s="25" t="s">
        <v>22</v>
      </c>
      <c r="E228" s="1" t="s">
        <v>147</v>
      </c>
      <c r="F228" s="1" t="s">
        <v>66</v>
      </c>
      <c r="I228" s="25" t="n">
        <v>400000</v>
      </c>
      <c r="M228" s="43" t="n">
        <f aca="false">IF(B228="","",IF(ISNUMBER(I228),I228,IFERROR(VALUE(SUBSTITUTE(SUBSTITUTE(I228,"$",""),".","")),0)))</f>
        <v>400000</v>
      </c>
      <c r="N228" s="44" t="str">
        <f aca="false">IF(B228="","",PROPER(TRIM(D228)))</f>
        <v>Carolina</v>
      </c>
      <c r="O228" s="44" t="str">
        <f aca="false">IF(B228="","",IF(OR(ISNUMBER(SEARCH("AL DIA",L228)),ISNUMBER(SEARCH("AL DIA",F228))),"Al día",IF(OR(ISNUMBER(SEARCH("QUIETO",L228)),ISNUMBER(SEARCH("QUIETO",F228)),ISNUMBER(SEARCH("ESPERANDO",L228)),ISNUMBER(SEARCH("ESPERANDO",F228))),"Sin respuesta / Inactivo",IF(OR(ISNUMBER(SEARCH("PENDIENTE",L228)),ISNUMBER(SEARCH("PENDIENTE",F228)),ISNUMBER(SEARCH("COMPROMISO",F228)),ISNUMBER(SEARCH("COMPROMISO",L228)),ISNUMBER(SEARCH("PROCESO",F228)),ISNUMBER(SEARCH("LLAMAR",F228)),ISNUMBER(SEARCH("ABONO",J228)),EXACT(L228,"P"),EXACT(F228,"P")),"Pendiente / Compromiso","Sin gestionar"))))</f>
        <v>Sin gestionar</v>
      </c>
      <c r="P228" s="44" t="str">
        <f aca="false">IF(B228="","",IF(E228="","Sin definir",IF(ISNUMBER(SEARCH("ITIL",E228)),"ITIL",IF(ISNUMBER(SEARCH("ISO 27001",E228)),"ISO 27001",IF(ISNUMBER(SEARCH("ISO 42001",E228)),"ISO 42001",IF(ISNUMBER(SEARCH("ISO",E228)),"Otras ISO",IF(ISNUMBER(SEARCH("SCRUM",E228)),"SCRUM",IF(ISNUMBER(SEARCH("BRIDGE",E228)),"BRIDGE",IF(ISNUMBER(SEARCH("CDS",E228)),"CDS",IF(ISNUMBER(SEARCH("TOGAF",E228)),"TOGAF",IF(ISNUMBER(SEARCH("DPI",E228)),"DPI",IF(ISNUMBER(SEARCH("DITS",E228)),"DITS",IF(ISNUMBER(SEARCH("AGILE",E228)),"AGILE",IF(ISNUMBER(SEARCH("Ciberseguridad",E228)),"Ciberseguridad","Otros"))))))))))))))</f>
        <v>ITIL</v>
      </c>
      <c r="Q228" s="44" t="str">
        <f aca="false">IF(B228="","",IF(ISNUMBER(K228),IF(K228&lt;=3,"1-3 meses",IF(K228&lt;=6,"4-6 meses","+6 meses")),"Sin dato registrado"))</f>
        <v>Sin dato registrado</v>
      </c>
      <c r="R228" s="44" t="n">
        <f aca="false">IF(OR(B228="",M228=""),"",RANK(M228,$M$3:$M$306)+COUNTIF($M$3:M228,M228)-1)</f>
        <v>50</v>
      </c>
    </row>
    <row r="229" customFormat="false" ht="15" hidden="false" customHeight="true" outlineLevel="0" collapsed="false">
      <c r="A229" s="50"/>
      <c r="B229" s="1" t="s">
        <v>172</v>
      </c>
      <c r="C229" s="57"/>
      <c r="D229" s="25" t="s">
        <v>22</v>
      </c>
      <c r="E229" s="1" t="s">
        <v>31</v>
      </c>
      <c r="F229" s="1" t="s">
        <v>66</v>
      </c>
      <c r="I229" s="25" t="n">
        <v>400000</v>
      </c>
      <c r="M229" s="43" t="n">
        <f aca="false">IF(B229="","",IF(ISNUMBER(I229),I229,IFERROR(VALUE(SUBSTITUTE(SUBSTITUTE(I229,"$",""),".","")),0)))</f>
        <v>400000</v>
      </c>
      <c r="N229" s="44" t="str">
        <f aca="false">IF(B229="","",PROPER(TRIM(D229)))</f>
        <v>Carolina</v>
      </c>
      <c r="O229" s="44" t="str">
        <f aca="false">IF(B229="","",IF(OR(ISNUMBER(SEARCH("AL DIA",L229)),ISNUMBER(SEARCH("AL DIA",F229))),"Al día",IF(OR(ISNUMBER(SEARCH("QUIETO",L229)),ISNUMBER(SEARCH("QUIETO",F229)),ISNUMBER(SEARCH("ESPERANDO",L229)),ISNUMBER(SEARCH("ESPERANDO",F229))),"Sin respuesta / Inactivo",IF(OR(ISNUMBER(SEARCH("PENDIENTE",L229)),ISNUMBER(SEARCH("PENDIENTE",F229)),ISNUMBER(SEARCH("COMPROMISO",F229)),ISNUMBER(SEARCH("COMPROMISO",L229)),ISNUMBER(SEARCH("PROCESO",F229)),ISNUMBER(SEARCH("LLAMAR",F229)),ISNUMBER(SEARCH("ABONO",J229)),EXACT(L229,"P"),EXACT(F229,"P")),"Pendiente / Compromiso","Sin gestionar"))))</f>
        <v>Sin gestionar</v>
      </c>
      <c r="P229" s="44" t="str">
        <f aca="false">IF(B229="","",IF(E229="","Sin definir",IF(ISNUMBER(SEARCH("ITIL",E229)),"ITIL",IF(ISNUMBER(SEARCH("ISO 27001",E229)),"ISO 27001",IF(ISNUMBER(SEARCH("ISO 42001",E229)),"ISO 42001",IF(ISNUMBER(SEARCH("ISO",E229)),"Otras ISO",IF(ISNUMBER(SEARCH("SCRUM",E229)),"SCRUM",IF(ISNUMBER(SEARCH("BRIDGE",E229)),"BRIDGE",IF(ISNUMBER(SEARCH("CDS",E229)),"CDS",IF(ISNUMBER(SEARCH("TOGAF",E229)),"TOGAF",IF(ISNUMBER(SEARCH("DPI",E229)),"DPI",IF(ISNUMBER(SEARCH("DITS",E229)),"DITS",IF(ISNUMBER(SEARCH("AGILE",E229)),"AGILE",IF(ISNUMBER(SEARCH("Ciberseguridad",E229)),"Ciberseguridad","Otros"))))))))))))))</f>
        <v>BRIDGE</v>
      </c>
      <c r="Q229" s="44" t="str">
        <f aca="false">IF(B229="","",IF(ISNUMBER(K229),IF(K229&lt;=3,"1-3 meses",IF(K229&lt;=6,"4-6 meses","+6 meses")),"Sin dato registrado"))</f>
        <v>Sin dato registrado</v>
      </c>
      <c r="R229" s="44" t="n">
        <f aca="false">IF(OR(B229="",M229=""),"",RANK(M229,$M$3:$M$306)+COUNTIF($M$3:M229,M229)-1)</f>
        <v>51</v>
      </c>
    </row>
    <row r="230" customFormat="false" ht="15" hidden="false" customHeight="true" outlineLevel="0" collapsed="false">
      <c r="A230" s="49"/>
      <c r="B230" s="1" t="s">
        <v>173</v>
      </c>
      <c r="C230" s="57"/>
      <c r="D230" s="1" t="s">
        <v>21</v>
      </c>
      <c r="E230" s="1" t="s">
        <v>147</v>
      </c>
      <c r="F230" s="1" t="s">
        <v>66</v>
      </c>
      <c r="I230" s="25" t="n">
        <v>850000</v>
      </c>
      <c r="M230" s="43" t="n">
        <f aca="false">IF(B230="","",IF(ISNUMBER(I230),I230,IFERROR(VALUE(SUBSTITUTE(SUBSTITUTE(I230,"$",""),".","")),0)))</f>
        <v>850000</v>
      </c>
      <c r="N230" s="44" t="str">
        <f aca="false">IF(B230="","",PROPER(TRIM(D230)))</f>
        <v>Ximena</v>
      </c>
      <c r="O230" s="44" t="str">
        <f aca="false">IF(B230="","",IF(OR(ISNUMBER(SEARCH("AL DIA",L230)),ISNUMBER(SEARCH("AL DIA",F230))),"Al día",IF(OR(ISNUMBER(SEARCH("QUIETO",L230)),ISNUMBER(SEARCH("QUIETO",F230)),ISNUMBER(SEARCH("ESPERANDO",L230)),ISNUMBER(SEARCH("ESPERANDO",F230))),"Sin respuesta / Inactivo",IF(OR(ISNUMBER(SEARCH("PENDIENTE",L230)),ISNUMBER(SEARCH("PENDIENTE",F230)),ISNUMBER(SEARCH("COMPROMISO",F230)),ISNUMBER(SEARCH("COMPROMISO",L230)),ISNUMBER(SEARCH("PROCESO",F230)),ISNUMBER(SEARCH("LLAMAR",F230)),ISNUMBER(SEARCH("ABONO",J230)),EXACT(L230,"P"),EXACT(F230,"P")),"Pendiente / Compromiso","Sin gestionar"))))</f>
        <v>Sin gestionar</v>
      </c>
      <c r="P230" s="44" t="str">
        <f aca="false">IF(B230="","",IF(E230="","Sin definir",IF(ISNUMBER(SEARCH("ITIL",E230)),"ITIL",IF(ISNUMBER(SEARCH("ISO 27001",E230)),"ISO 27001",IF(ISNUMBER(SEARCH("ISO 42001",E230)),"ISO 42001",IF(ISNUMBER(SEARCH("ISO",E230)),"Otras ISO",IF(ISNUMBER(SEARCH("SCRUM",E230)),"SCRUM",IF(ISNUMBER(SEARCH("BRIDGE",E230)),"BRIDGE",IF(ISNUMBER(SEARCH("CDS",E230)),"CDS",IF(ISNUMBER(SEARCH("TOGAF",E230)),"TOGAF",IF(ISNUMBER(SEARCH("DPI",E230)),"DPI",IF(ISNUMBER(SEARCH("DITS",E230)),"DITS",IF(ISNUMBER(SEARCH("AGILE",E230)),"AGILE",IF(ISNUMBER(SEARCH("Ciberseguridad",E230)),"Ciberseguridad","Otros"))))))))))))))</f>
        <v>ITIL</v>
      </c>
      <c r="Q230" s="44" t="str">
        <f aca="false">IF(B230="","",IF(ISNUMBER(K230),IF(K230&lt;=3,"1-3 meses",IF(K230&lt;=6,"4-6 meses","+6 meses")),"Sin dato registrado"))</f>
        <v>Sin dato registrado</v>
      </c>
      <c r="R230" s="44" t="n">
        <f aca="false">IF(OR(B230="",M230=""),"",RANK(M230,$M$3:$M$306)+COUNTIF($M$3:M230,M230)-1)</f>
        <v>30</v>
      </c>
    </row>
    <row r="231" customFormat="false" ht="15" hidden="false" customHeight="true" outlineLevel="0" collapsed="false">
      <c r="A231" s="50"/>
      <c r="B231" s="1" t="s">
        <v>174</v>
      </c>
      <c r="C231" s="57"/>
      <c r="D231" s="1" t="s">
        <v>22</v>
      </c>
      <c r="E231" s="1" t="s">
        <v>31</v>
      </c>
      <c r="F231" s="1" t="s">
        <v>66</v>
      </c>
      <c r="I231" s="25" t="n">
        <v>500000</v>
      </c>
      <c r="M231" s="43" t="n">
        <f aca="false">IF(B231="","",IF(ISNUMBER(I231),I231,IFERROR(VALUE(SUBSTITUTE(SUBSTITUTE(I231,"$",""),".","")),0)))</f>
        <v>500000</v>
      </c>
      <c r="N231" s="44" t="str">
        <f aca="false">IF(B231="","",PROPER(TRIM(D231)))</f>
        <v>Carolina</v>
      </c>
      <c r="O231" s="44" t="str">
        <f aca="false">IF(B231="","",IF(OR(ISNUMBER(SEARCH("AL DIA",L231)),ISNUMBER(SEARCH("AL DIA",F231))),"Al día",IF(OR(ISNUMBER(SEARCH("QUIETO",L231)),ISNUMBER(SEARCH("QUIETO",F231)),ISNUMBER(SEARCH("ESPERANDO",L231)),ISNUMBER(SEARCH("ESPERANDO",F231))),"Sin respuesta / Inactivo",IF(OR(ISNUMBER(SEARCH("PENDIENTE",L231)),ISNUMBER(SEARCH("PENDIENTE",F231)),ISNUMBER(SEARCH("COMPROMISO",F231)),ISNUMBER(SEARCH("COMPROMISO",L231)),ISNUMBER(SEARCH("PROCESO",F231)),ISNUMBER(SEARCH("LLAMAR",F231)),ISNUMBER(SEARCH("ABONO",J231)),EXACT(L231,"P"),EXACT(F231,"P")),"Pendiente / Compromiso","Sin gestionar"))))</f>
        <v>Sin gestionar</v>
      </c>
      <c r="P231" s="44" t="str">
        <f aca="false">IF(B231="","",IF(E231="","Sin definir",IF(ISNUMBER(SEARCH("ITIL",E231)),"ITIL",IF(ISNUMBER(SEARCH("ISO 27001",E231)),"ISO 27001",IF(ISNUMBER(SEARCH("ISO 42001",E231)),"ISO 42001",IF(ISNUMBER(SEARCH("ISO",E231)),"Otras ISO",IF(ISNUMBER(SEARCH("SCRUM",E231)),"SCRUM",IF(ISNUMBER(SEARCH("BRIDGE",E231)),"BRIDGE",IF(ISNUMBER(SEARCH("CDS",E231)),"CDS",IF(ISNUMBER(SEARCH("TOGAF",E231)),"TOGAF",IF(ISNUMBER(SEARCH("DPI",E231)),"DPI",IF(ISNUMBER(SEARCH("DITS",E231)),"DITS",IF(ISNUMBER(SEARCH("AGILE",E231)),"AGILE",IF(ISNUMBER(SEARCH("Ciberseguridad",E231)),"Ciberseguridad","Otros"))))))))))))))</f>
        <v>BRIDGE</v>
      </c>
      <c r="Q231" s="44" t="str">
        <f aca="false">IF(B231="","",IF(ISNUMBER(K231),IF(K231&lt;=3,"1-3 meses",IF(K231&lt;=6,"4-6 meses","+6 meses")),"Sin dato registrado"))</f>
        <v>Sin dato registrado</v>
      </c>
      <c r="R231" s="44" t="n">
        <f aca="false">IF(OR(B231="",M231=""),"",RANK(M231,$M$3:$M$306)+COUNTIF($M$3:M231,M231)-1)</f>
        <v>48</v>
      </c>
    </row>
    <row r="232" customFormat="false" ht="15" hidden="false" customHeight="true" outlineLevel="0" collapsed="false">
      <c r="A232" s="49"/>
      <c r="B232" s="1" t="s">
        <v>175</v>
      </c>
      <c r="C232" s="57"/>
      <c r="D232" s="1" t="s">
        <v>22</v>
      </c>
      <c r="E232" s="1" t="s">
        <v>28</v>
      </c>
      <c r="F232" s="1" t="s">
        <v>66</v>
      </c>
      <c r="I232" s="25" t="n">
        <v>800000</v>
      </c>
      <c r="M232" s="43" t="n">
        <f aca="false">IF(B232="","",IF(ISNUMBER(I232),I232,IFERROR(VALUE(SUBSTITUTE(SUBSTITUTE(I232,"$",""),".","")),0)))</f>
        <v>800000</v>
      </c>
      <c r="N232" s="44" t="str">
        <f aca="false">IF(B232="","",PROPER(TRIM(D232)))</f>
        <v>Carolina</v>
      </c>
      <c r="O232" s="44" t="str">
        <f aca="false">IF(B232="","",IF(OR(ISNUMBER(SEARCH("AL DIA",L232)),ISNUMBER(SEARCH("AL DIA",F232))),"Al día",IF(OR(ISNUMBER(SEARCH("QUIETO",L232)),ISNUMBER(SEARCH("QUIETO",F232)),ISNUMBER(SEARCH("ESPERANDO",L232)),ISNUMBER(SEARCH("ESPERANDO",F232))),"Sin respuesta / Inactivo",IF(OR(ISNUMBER(SEARCH("PENDIENTE",L232)),ISNUMBER(SEARCH("PENDIENTE",F232)),ISNUMBER(SEARCH("COMPROMISO",F232)),ISNUMBER(SEARCH("COMPROMISO",L232)),ISNUMBER(SEARCH("PROCESO",F232)),ISNUMBER(SEARCH("LLAMAR",F232)),ISNUMBER(SEARCH("ABONO",J232)),EXACT(L232,"P"),EXACT(F232,"P")),"Pendiente / Compromiso","Sin gestionar"))))</f>
        <v>Sin gestionar</v>
      </c>
      <c r="P232" s="44" t="str">
        <f aca="false">IF(B232="","",IF(E232="","Sin definir",IF(ISNUMBER(SEARCH("ITIL",E232)),"ITIL",IF(ISNUMBER(SEARCH("ISO 27001",E232)),"ISO 27001",IF(ISNUMBER(SEARCH("ISO 42001",E232)),"ISO 42001",IF(ISNUMBER(SEARCH("ISO",E232)),"Otras ISO",IF(ISNUMBER(SEARCH("SCRUM",E232)),"SCRUM",IF(ISNUMBER(SEARCH("BRIDGE",E232)),"BRIDGE",IF(ISNUMBER(SEARCH("CDS",E232)),"CDS",IF(ISNUMBER(SEARCH("TOGAF",E232)),"TOGAF",IF(ISNUMBER(SEARCH("DPI",E232)),"DPI",IF(ISNUMBER(SEARCH("DITS",E232)),"DITS",IF(ISNUMBER(SEARCH("AGILE",E232)),"AGILE",IF(ISNUMBER(SEARCH("Ciberseguridad",E232)),"Ciberseguridad","Otros"))))))))))))))</f>
        <v>ISO 42001</v>
      </c>
      <c r="Q232" s="44" t="str">
        <f aca="false">IF(B232="","",IF(ISNUMBER(K232),IF(K232&lt;=3,"1-3 meses",IF(K232&lt;=6,"4-6 meses","+6 meses")),"Sin dato registrado"))</f>
        <v>Sin dato registrado</v>
      </c>
      <c r="R232" s="44" t="n">
        <f aca="false">IF(OR(B232="",M232=""),"",RANK(M232,$M$3:$M$306)+COUNTIF($M$3:M232,M232)-1)</f>
        <v>32</v>
      </c>
    </row>
    <row r="233" customFormat="false" ht="15" hidden="false" customHeight="true" outlineLevel="0" collapsed="false">
      <c r="A233" s="50"/>
      <c r="B233" s="1" t="s">
        <v>176</v>
      </c>
      <c r="C233" s="57"/>
      <c r="D233" s="1" t="s">
        <v>21</v>
      </c>
      <c r="I233" s="25" t="n">
        <v>1600000</v>
      </c>
      <c r="M233" s="43" t="n">
        <f aca="false">IF(B233="","",IF(ISNUMBER(I233),I233,IFERROR(VALUE(SUBSTITUTE(SUBSTITUTE(I233,"$",""),".","")),0)))</f>
        <v>1600000</v>
      </c>
      <c r="N233" s="44" t="str">
        <f aca="false">IF(B233="","",PROPER(TRIM(D233)))</f>
        <v>Ximena</v>
      </c>
      <c r="O233" s="44" t="str">
        <f aca="false">IF(B233="","",IF(OR(ISNUMBER(SEARCH("AL DIA",L233)),ISNUMBER(SEARCH("AL DIA",F233))),"Al día",IF(OR(ISNUMBER(SEARCH("QUIETO",L233)),ISNUMBER(SEARCH("QUIETO",F233)),ISNUMBER(SEARCH("ESPERANDO",L233)),ISNUMBER(SEARCH("ESPERANDO",F233))),"Sin respuesta / Inactivo",IF(OR(ISNUMBER(SEARCH("PENDIENTE",L233)),ISNUMBER(SEARCH("PENDIENTE",F233)),ISNUMBER(SEARCH("COMPROMISO",F233)),ISNUMBER(SEARCH("COMPROMISO",L233)),ISNUMBER(SEARCH("PROCESO",F233)),ISNUMBER(SEARCH("LLAMAR",F233)),ISNUMBER(SEARCH("ABONO",J233)),EXACT(L233,"P"),EXACT(F233,"P")),"Pendiente / Compromiso","Sin gestionar"))))</f>
        <v>Sin gestionar</v>
      </c>
      <c r="P233" s="44" t="str">
        <f aca="false">IF(B233="","",IF(E233="","Sin definir",IF(ISNUMBER(SEARCH("ITIL",E233)),"ITIL",IF(ISNUMBER(SEARCH("ISO 27001",E233)),"ISO 27001",IF(ISNUMBER(SEARCH("ISO 42001",E233)),"ISO 42001",IF(ISNUMBER(SEARCH("ISO",E233)),"Otras ISO",IF(ISNUMBER(SEARCH("SCRUM",E233)),"SCRUM",IF(ISNUMBER(SEARCH("BRIDGE",E233)),"BRIDGE",IF(ISNUMBER(SEARCH("CDS",E233)),"CDS",IF(ISNUMBER(SEARCH("TOGAF",E233)),"TOGAF",IF(ISNUMBER(SEARCH("DPI",E233)),"DPI",IF(ISNUMBER(SEARCH("DITS",E233)),"DITS",IF(ISNUMBER(SEARCH("AGILE",E233)),"AGILE",IF(ISNUMBER(SEARCH("Ciberseguridad",E233)),"Ciberseguridad","Otros"))))))))))))))</f>
        <v>Sin definir</v>
      </c>
      <c r="Q233" s="44" t="str">
        <f aca="false">IF(B233="","",IF(ISNUMBER(K233),IF(K233&lt;=3,"1-3 meses",IF(K233&lt;=6,"4-6 meses","+6 meses")),"Sin dato registrado"))</f>
        <v>Sin dato registrado</v>
      </c>
      <c r="R233" s="44" t="n">
        <f aca="false">IF(OR(B233="",M233=""),"",RANK(M233,$M$3:$M$306)+COUNTIF($M$3:M233,M233)-1)</f>
        <v>7</v>
      </c>
    </row>
    <row r="234" customFormat="false" ht="15" hidden="false" customHeight="true" outlineLevel="0" collapsed="false">
      <c r="A234" s="49"/>
      <c r="B234" s="1" t="s">
        <v>177</v>
      </c>
      <c r="C234" s="57"/>
      <c r="D234" s="1" t="s">
        <v>21</v>
      </c>
      <c r="I234" s="25" t="n">
        <v>650000</v>
      </c>
      <c r="M234" s="43" t="n">
        <f aca="false">IF(B234="","",IF(ISNUMBER(I234),I234,IFERROR(VALUE(SUBSTITUTE(SUBSTITUTE(I234,"$",""),".","")),0)))</f>
        <v>650000</v>
      </c>
      <c r="N234" s="44" t="str">
        <f aca="false">IF(B234="","",PROPER(TRIM(D234)))</f>
        <v>Ximena</v>
      </c>
      <c r="O234" s="44" t="str">
        <f aca="false">IF(B234="","",IF(OR(ISNUMBER(SEARCH("AL DIA",L234)),ISNUMBER(SEARCH("AL DIA",F234))),"Al día",IF(OR(ISNUMBER(SEARCH("QUIETO",L234)),ISNUMBER(SEARCH("QUIETO",F234)),ISNUMBER(SEARCH("ESPERANDO",L234)),ISNUMBER(SEARCH("ESPERANDO",F234))),"Sin respuesta / Inactivo",IF(OR(ISNUMBER(SEARCH("PENDIENTE",L234)),ISNUMBER(SEARCH("PENDIENTE",F234)),ISNUMBER(SEARCH("COMPROMISO",F234)),ISNUMBER(SEARCH("COMPROMISO",L234)),ISNUMBER(SEARCH("PROCESO",F234)),ISNUMBER(SEARCH("LLAMAR",F234)),ISNUMBER(SEARCH("ABONO",J234)),EXACT(L234,"P"),EXACT(F234,"P")),"Pendiente / Compromiso","Sin gestionar"))))</f>
        <v>Sin gestionar</v>
      </c>
      <c r="P234" s="44" t="str">
        <f aca="false">IF(B234="","",IF(E234="","Sin definir",IF(ISNUMBER(SEARCH("ITIL",E234)),"ITIL",IF(ISNUMBER(SEARCH("ISO 27001",E234)),"ISO 27001",IF(ISNUMBER(SEARCH("ISO 42001",E234)),"ISO 42001",IF(ISNUMBER(SEARCH("ISO",E234)),"Otras ISO",IF(ISNUMBER(SEARCH("SCRUM",E234)),"SCRUM",IF(ISNUMBER(SEARCH("BRIDGE",E234)),"BRIDGE",IF(ISNUMBER(SEARCH("CDS",E234)),"CDS",IF(ISNUMBER(SEARCH("TOGAF",E234)),"TOGAF",IF(ISNUMBER(SEARCH("DPI",E234)),"DPI",IF(ISNUMBER(SEARCH("DITS",E234)),"DITS",IF(ISNUMBER(SEARCH("AGILE",E234)),"AGILE",IF(ISNUMBER(SEARCH("Ciberseguridad",E234)),"Ciberseguridad","Otros"))))))))))))))</f>
        <v>Sin definir</v>
      </c>
      <c r="Q234" s="44" t="str">
        <f aca="false">IF(B234="","",IF(ISNUMBER(K234),IF(K234&lt;=3,"1-3 meses",IF(K234&lt;=6,"4-6 meses","+6 meses")),"Sin dato registrado"))</f>
        <v>Sin dato registrado</v>
      </c>
      <c r="R234" s="44" t="n">
        <f aca="false">IF(OR(B234="",M234=""),"",RANK(M234,$M$3:$M$306)+COUNTIF($M$3:M234,M234)-1)</f>
        <v>41</v>
      </c>
    </row>
    <row r="235" customFormat="false" ht="15" hidden="false" customHeight="true" outlineLevel="0" collapsed="false">
      <c r="A235" s="50"/>
      <c r="B235" s="1" t="s">
        <v>178</v>
      </c>
      <c r="C235" s="57"/>
      <c r="D235" s="1" t="s">
        <v>23</v>
      </c>
      <c r="I235" s="25" t="n">
        <v>1400000</v>
      </c>
      <c r="M235" s="43" t="n">
        <f aca="false">IF(B235="","",IF(ISNUMBER(I235),I235,IFERROR(VALUE(SUBSTITUTE(SUBSTITUTE(I235,"$",""),".","")),0)))</f>
        <v>1400000</v>
      </c>
      <c r="N235" s="44" t="str">
        <f aca="false">IF(B235="","",PROPER(TRIM(D235)))</f>
        <v>Sebas</v>
      </c>
      <c r="O235" s="44" t="str">
        <f aca="false">IF(B235="","",IF(OR(ISNUMBER(SEARCH("AL DIA",L235)),ISNUMBER(SEARCH("AL DIA",F235))),"Al día",IF(OR(ISNUMBER(SEARCH("QUIETO",L235)),ISNUMBER(SEARCH("QUIETO",F235)),ISNUMBER(SEARCH("ESPERANDO",L235)),ISNUMBER(SEARCH("ESPERANDO",F235))),"Sin respuesta / Inactivo",IF(OR(ISNUMBER(SEARCH("PENDIENTE",L235)),ISNUMBER(SEARCH("PENDIENTE",F235)),ISNUMBER(SEARCH("COMPROMISO",F235)),ISNUMBER(SEARCH("COMPROMISO",L235)),ISNUMBER(SEARCH("PROCESO",F235)),ISNUMBER(SEARCH("LLAMAR",F235)),ISNUMBER(SEARCH("ABONO",J235)),EXACT(L235,"P"),EXACT(F235,"P")),"Pendiente / Compromiso","Sin gestionar"))))</f>
        <v>Sin gestionar</v>
      </c>
      <c r="P235" s="44" t="str">
        <f aca="false">IF(B235="","",IF(E235="","Sin definir",IF(ISNUMBER(SEARCH("ITIL",E235)),"ITIL",IF(ISNUMBER(SEARCH("ISO 27001",E235)),"ISO 27001",IF(ISNUMBER(SEARCH("ISO 42001",E235)),"ISO 42001",IF(ISNUMBER(SEARCH("ISO",E235)),"Otras ISO",IF(ISNUMBER(SEARCH("SCRUM",E235)),"SCRUM",IF(ISNUMBER(SEARCH("BRIDGE",E235)),"BRIDGE",IF(ISNUMBER(SEARCH("CDS",E235)),"CDS",IF(ISNUMBER(SEARCH("TOGAF",E235)),"TOGAF",IF(ISNUMBER(SEARCH("DPI",E235)),"DPI",IF(ISNUMBER(SEARCH("DITS",E235)),"DITS",IF(ISNUMBER(SEARCH("AGILE",E235)),"AGILE",IF(ISNUMBER(SEARCH("Ciberseguridad",E235)),"Ciberseguridad","Otros"))))))))))))))</f>
        <v>Sin definir</v>
      </c>
      <c r="Q235" s="44" t="str">
        <f aca="false">IF(B235="","",IF(ISNUMBER(K235),IF(K235&lt;=3,"1-3 meses",IF(K235&lt;=6,"4-6 meses","+6 meses")),"Sin dato registrado"))</f>
        <v>Sin dato registrado</v>
      </c>
      <c r="R235" s="44" t="n">
        <f aca="false">IF(OR(B235="",M235=""),"",RANK(M235,$M$3:$M$306)+COUNTIF($M$3:M235,M235)-1)</f>
        <v>13</v>
      </c>
    </row>
    <row r="236" customFormat="false" ht="15" hidden="false" customHeight="true" outlineLevel="0" collapsed="false">
      <c r="A236" s="49"/>
      <c r="B236" s="1" t="s">
        <v>179</v>
      </c>
      <c r="C236" s="57"/>
      <c r="D236" s="1" t="s">
        <v>21</v>
      </c>
      <c r="I236" s="25" t="n">
        <v>680000</v>
      </c>
      <c r="J236" s="1" t="s">
        <v>180</v>
      </c>
      <c r="M236" s="43" t="n">
        <f aca="false">IF(B236="","",IF(ISNUMBER(I236),I236,IFERROR(VALUE(SUBSTITUTE(SUBSTITUTE(I236,"$",""),".","")),0)))</f>
        <v>680000</v>
      </c>
      <c r="N236" s="44" t="str">
        <f aca="false">IF(B236="","",PROPER(TRIM(D236)))</f>
        <v>Ximena</v>
      </c>
      <c r="O236" s="44" t="str">
        <f aca="false">IF(B236="","",IF(OR(ISNUMBER(SEARCH("AL DIA",L236)),ISNUMBER(SEARCH("AL DIA",F236))),"Al día",IF(OR(ISNUMBER(SEARCH("QUIETO",L236)),ISNUMBER(SEARCH("QUIETO",F236)),ISNUMBER(SEARCH("ESPERANDO",L236)),ISNUMBER(SEARCH("ESPERANDO",F236))),"Sin respuesta / Inactivo",IF(OR(ISNUMBER(SEARCH("PENDIENTE",L236)),ISNUMBER(SEARCH("PENDIENTE",F236)),ISNUMBER(SEARCH("COMPROMISO",F236)),ISNUMBER(SEARCH("COMPROMISO",L236)),ISNUMBER(SEARCH("PROCESO",F236)),ISNUMBER(SEARCH("LLAMAR",F236)),ISNUMBER(SEARCH("ABONO",J236)),EXACT(L236,"P"),EXACT(F236,"P")),"Pendiente / Compromiso","Sin gestionar"))))</f>
        <v>Sin gestionar</v>
      </c>
      <c r="P236" s="44" t="str">
        <f aca="false">IF(B236="","",IF(E236="","Sin definir",IF(ISNUMBER(SEARCH("ITIL",E236)),"ITIL",IF(ISNUMBER(SEARCH("ISO 27001",E236)),"ISO 27001",IF(ISNUMBER(SEARCH("ISO 42001",E236)),"ISO 42001",IF(ISNUMBER(SEARCH("ISO",E236)),"Otras ISO",IF(ISNUMBER(SEARCH("SCRUM",E236)),"SCRUM",IF(ISNUMBER(SEARCH("BRIDGE",E236)),"BRIDGE",IF(ISNUMBER(SEARCH("CDS",E236)),"CDS",IF(ISNUMBER(SEARCH("TOGAF",E236)),"TOGAF",IF(ISNUMBER(SEARCH("DPI",E236)),"DPI",IF(ISNUMBER(SEARCH("DITS",E236)),"DITS",IF(ISNUMBER(SEARCH("AGILE",E236)),"AGILE",IF(ISNUMBER(SEARCH("Ciberseguridad",E236)),"Ciberseguridad","Otros"))))))))))))))</f>
        <v>Sin definir</v>
      </c>
      <c r="Q236" s="44" t="str">
        <f aca="false">IF(B236="","",IF(ISNUMBER(K236),IF(K236&lt;=3,"1-3 meses",IF(K236&lt;=6,"4-6 meses","+6 meses")),"Sin dato registrado"))</f>
        <v>Sin dato registrado</v>
      </c>
      <c r="R236" s="44" t="n">
        <f aca="false">IF(OR(B236="",M236=""),"",RANK(M236,$M$3:$M$306)+COUNTIF($M$3:M236,M236)-1)</f>
        <v>35</v>
      </c>
    </row>
    <row r="237" customFormat="false" ht="15" hidden="false" customHeight="true" outlineLevel="0" collapsed="false">
      <c r="A237" s="50"/>
      <c r="B237" s="1" t="s">
        <v>160</v>
      </c>
      <c r="C237" s="57"/>
      <c r="D237" s="1" t="s">
        <v>21</v>
      </c>
      <c r="I237" s="25" t="n">
        <v>285000</v>
      </c>
      <c r="M237" s="43" t="n">
        <f aca="false">IF(B237="","",IF(ISNUMBER(I237),I237,IFERROR(VALUE(SUBSTITUTE(SUBSTITUTE(I237,"$",""),".","")),0)))</f>
        <v>285000</v>
      </c>
      <c r="N237" s="44" t="str">
        <f aca="false">IF(B237="","",PROPER(TRIM(D237)))</f>
        <v>Ximena</v>
      </c>
      <c r="O237" s="44" t="str">
        <f aca="false">IF(B237="","",IF(OR(ISNUMBER(SEARCH("AL DIA",L237)),ISNUMBER(SEARCH("AL DIA",F237))),"Al día",IF(OR(ISNUMBER(SEARCH("QUIETO",L237)),ISNUMBER(SEARCH("QUIETO",F237)),ISNUMBER(SEARCH("ESPERANDO",L237)),ISNUMBER(SEARCH("ESPERANDO",F237))),"Sin respuesta / Inactivo",IF(OR(ISNUMBER(SEARCH("PENDIENTE",L237)),ISNUMBER(SEARCH("PENDIENTE",F237)),ISNUMBER(SEARCH("COMPROMISO",F237)),ISNUMBER(SEARCH("COMPROMISO",L237)),ISNUMBER(SEARCH("PROCESO",F237)),ISNUMBER(SEARCH("LLAMAR",F237)),ISNUMBER(SEARCH("ABONO",J237)),EXACT(L237,"P"),EXACT(F237,"P")),"Pendiente / Compromiso","Sin gestionar"))))</f>
        <v>Sin gestionar</v>
      </c>
      <c r="P237" s="44" t="str">
        <f aca="false">IF(B237="","",IF(E237="","Sin definir",IF(ISNUMBER(SEARCH("ITIL",E237)),"ITIL",IF(ISNUMBER(SEARCH("ISO 27001",E237)),"ISO 27001",IF(ISNUMBER(SEARCH("ISO 42001",E237)),"ISO 42001",IF(ISNUMBER(SEARCH("ISO",E237)),"Otras ISO",IF(ISNUMBER(SEARCH("SCRUM",E237)),"SCRUM",IF(ISNUMBER(SEARCH("BRIDGE",E237)),"BRIDGE",IF(ISNUMBER(SEARCH("CDS",E237)),"CDS",IF(ISNUMBER(SEARCH("TOGAF",E237)),"TOGAF",IF(ISNUMBER(SEARCH("DPI",E237)),"DPI",IF(ISNUMBER(SEARCH("DITS",E237)),"DITS",IF(ISNUMBER(SEARCH("AGILE",E237)),"AGILE",IF(ISNUMBER(SEARCH("Ciberseguridad",E237)),"Ciberseguridad","Otros"))))))))))))))</f>
        <v>Sin definir</v>
      </c>
      <c r="Q237" s="44" t="str">
        <f aca="false">IF(B237="","",IF(ISNUMBER(K237),IF(K237&lt;=3,"1-3 meses",IF(K237&lt;=6,"4-6 meses","+6 meses")),"Sin dato registrado"))</f>
        <v>Sin dato registrado</v>
      </c>
      <c r="R237" s="44" t="n">
        <f aca="false">IF(OR(B237="",M237=""),"",RANK(M237,$M$3:$M$306)+COUNTIF($M$3:M237,M237)-1)</f>
        <v>56</v>
      </c>
    </row>
    <row r="238" customFormat="false" ht="15" hidden="false" customHeight="true" outlineLevel="0" collapsed="false">
      <c r="A238" s="49"/>
      <c r="B238" s="1" t="s">
        <v>181</v>
      </c>
      <c r="C238" s="57"/>
      <c r="D238" s="1" t="s">
        <v>22</v>
      </c>
      <c r="E238" s="1" t="s">
        <v>182</v>
      </c>
      <c r="I238" s="25" t="n">
        <v>1600000</v>
      </c>
      <c r="M238" s="43" t="n">
        <f aca="false">IF(B238="","",IF(ISNUMBER(I238),I238,IFERROR(VALUE(SUBSTITUTE(SUBSTITUTE(I238,"$",""),".","")),0)))</f>
        <v>1600000</v>
      </c>
      <c r="N238" s="44" t="str">
        <f aca="false">IF(B238="","",PROPER(TRIM(D238)))</f>
        <v>Carolina</v>
      </c>
      <c r="O238" s="44" t="str">
        <f aca="false">IF(B238="","",IF(OR(ISNUMBER(SEARCH("AL DIA",L238)),ISNUMBER(SEARCH("AL DIA",F238))),"Al día",IF(OR(ISNUMBER(SEARCH("QUIETO",L238)),ISNUMBER(SEARCH("QUIETO",F238)),ISNUMBER(SEARCH("ESPERANDO",L238)),ISNUMBER(SEARCH("ESPERANDO",F238))),"Sin respuesta / Inactivo",IF(OR(ISNUMBER(SEARCH("PENDIENTE",L238)),ISNUMBER(SEARCH("PENDIENTE",F238)),ISNUMBER(SEARCH("COMPROMISO",F238)),ISNUMBER(SEARCH("COMPROMISO",L238)),ISNUMBER(SEARCH("PROCESO",F238)),ISNUMBER(SEARCH("LLAMAR",F238)),ISNUMBER(SEARCH("ABONO",J238)),EXACT(L238,"P"),EXACT(F238,"P")),"Pendiente / Compromiso","Sin gestionar"))))</f>
        <v>Sin gestionar</v>
      </c>
      <c r="P238" s="44" t="str">
        <f aca="false">IF(B238="","",IF(E238="","Sin definir",IF(ISNUMBER(SEARCH("ITIL",E238)),"ITIL",IF(ISNUMBER(SEARCH("ISO 27001",E238)),"ISO 27001",IF(ISNUMBER(SEARCH("ISO 42001",E238)),"ISO 42001",IF(ISNUMBER(SEARCH("ISO",E238)),"Otras ISO",IF(ISNUMBER(SEARCH("SCRUM",E238)),"SCRUM",IF(ISNUMBER(SEARCH("BRIDGE",E238)),"BRIDGE",IF(ISNUMBER(SEARCH("CDS",E238)),"CDS",IF(ISNUMBER(SEARCH("TOGAF",E238)),"TOGAF",IF(ISNUMBER(SEARCH("DPI",E238)),"DPI",IF(ISNUMBER(SEARCH("DITS",E238)),"DITS",IF(ISNUMBER(SEARCH("AGILE",E238)),"AGILE",IF(ISNUMBER(SEARCH("Ciberseguridad",E238)),"Ciberseguridad","Otros"))))))))))))))</f>
        <v>ITIL</v>
      </c>
      <c r="Q238" s="44" t="str">
        <f aca="false">IF(B238="","",IF(ISNUMBER(K238),IF(K238&lt;=3,"1-3 meses",IF(K238&lt;=6,"4-6 meses","+6 meses")),"Sin dato registrado"))</f>
        <v>Sin dato registrado</v>
      </c>
      <c r="R238" s="44" t="n">
        <f aca="false">IF(OR(B238="",M238=""),"",RANK(M238,$M$3:$M$306)+COUNTIF($M$3:M238,M238)-1)</f>
        <v>8</v>
      </c>
    </row>
    <row r="239" customFormat="false" ht="15" hidden="false" customHeight="true" outlineLevel="0" collapsed="false">
      <c r="A239" s="50"/>
      <c r="B239" s="1" t="s">
        <v>183</v>
      </c>
      <c r="C239" s="57"/>
      <c r="D239" s="1" t="s">
        <v>22</v>
      </c>
      <c r="I239" s="25" t="n">
        <v>1470000</v>
      </c>
      <c r="M239" s="43" t="n">
        <f aca="false">IF(B239="","",IF(ISNUMBER(I239),I239,IFERROR(VALUE(SUBSTITUTE(SUBSTITUTE(I239,"$",""),".","")),0)))</f>
        <v>1470000</v>
      </c>
      <c r="N239" s="44" t="str">
        <f aca="false">IF(B239="","",PROPER(TRIM(D239)))</f>
        <v>Carolina</v>
      </c>
      <c r="O239" s="44" t="str">
        <f aca="false">IF(B239="","",IF(OR(ISNUMBER(SEARCH("AL DIA",L239)),ISNUMBER(SEARCH("AL DIA",F239))),"Al día",IF(OR(ISNUMBER(SEARCH("QUIETO",L239)),ISNUMBER(SEARCH("QUIETO",F239)),ISNUMBER(SEARCH("ESPERANDO",L239)),ISNUMBER(SEARCH("ESPERANDO",F239))),"Sin respuesta / Inactivo",IF(OR(ISNUMBER(SEARCH("PENDIENTE",L239)),ISNUMBER(SEARCH("PENDIENTE",F239)),ISNUMBER(SEARCH("COMPROMISO",F239)),ISNUMBER(SEARCH("COMPROMISO",L239)),ISNUMBER(SEARCH("PROCESO",F239)),ISNUMBER(SEARCH("LLAMAR",F239)),ISNUMBER(SEARCH("ABONO",J239)),EXACT(L239,"P"),EXACT(F239,"P")),"Pendiente / Compromiso","Sin gestionar"))))</f>
        <v>Sin gestionar</v>
      </c>
      <c r="P239" s="44" t="str">
        <f aca="false">IF(B239="","",IF(E239="","Sin definir",IF(ISNUMBER(SEARCH("ITIL",E239)),"ITIL",IF(ISNUMBER(SEARCH("ISO 27001",E239)),"ISO 27001",IF(ISNUMBER(SEARCH("ISO 42001",E239)),"ISO 42001",IF(ISNUMBER(SEARCH("ISO",E239)),"Otras ISO",IF(ISNUMBER(SEARCH("SCRUM",E239)),"SCRUM",IF(ISNUMBER(SEARCH("BRIDGE",E239)),"BRIDGE",IF(ISNUMBER(SEARCH("CDS",E239)),"CDS",IF(ISNUMBER(SEARCH("TOGAF",E239)),"TOGAF",IF(ISNUMBER(SEARCH("DPI",E239)),"DPI",IF(ISNUMBER(SEARCH("DITS",E239)),"DITS",IF(ISNUMBER(SEARCH("AGILE",E239)),"AGILE",IF(ISNUMBER(SEARCH("Ciberseguridad",E239)),"Ciberseguridad","Otros"))))))))))))))</f>
        <v>Sin definir</v>
      </c>
      <c r="Q239" s="44" t="str">
        <f aca="false">IF(B239="","",IF(ISNUMBER(K239),IF(K239&lt;=3,"1-3 meses",IF(K239&lt;=6,"4-6 meses","+6 meses")),"Sin dato registrado"))</f>
        <v>Sin dato registrado</v>
      </c>
      <c r="R239" s="44" t="n">
        <f aca="false">IF(OR(B239="",M239=""),"",RANK(M239,$M$3:$M$306)+COUNTIF($M$3:M239,M239)-1)</f>
        <v>10</v>
      </c>
    </row>
    <row r="240" customFormat="false" ht="15" hidden="false" customHeight="true" outlineLevel="0" collapsed="false">
      <c r="A240" s="49"/>
      <c r="B240" s="1" t="s">
        <v>184</v>
      </c>
      <c r="C240" s="57"/>
      <c r="D240" s="1" t="s">
        <v>22</v>
      </c>
      <c r="I240" s="25" t="n">
        <v>1500000</v>
      </c>
      <c r="M240" s="43" t="n">
        <f aca="false">IF(B240="","",IF(ISNUMBER(I240),I240,IFERROR(VALUE(SUBSTITUTE(SUBSTITUTE(I240,"$",""),".","")),0)))</f>
        <v>1500000</v>
      </c>
      <c r="N240" s="44" t="str">
        <f aca="false">IF(B240="","",PROPER(TRIM(D240)))</f>
        <v>Carolina</v>
      </c>
      <c r="O240" s="44" t="str">
        <f aca="false">IF(B240="","",IF(OR(ISNUMBER(SEARCH("AL DIA",L240)),ISNUMBER(SEARCH("AL DIA",F240))),"Al día",IF(OR(ISNUMBER(SEARCH("QUIETO",L240)),ISNUMBER(SEARCH("QUIETO",F240)),ISNUMBER(SEARCH("ESPERANDO",L240)),ISNUMBER(SEARCH("ESPERANDO",F240))),"Sin respuesta / Inactivo",IF(OR(ISNUMBER(SEARCH("PENDIENTE",L240)),ISNUMBER(SEARCH("PENDIENTE",F240)),ISNUMBER(SEARCH("COMPROMISO",F240)),ISNUMBER(SEARCH("COMPROMISO",L240)),ISNUMBER(SEARCH("PROCESO",F240)),ISNUMBER(SEARCH("LLAMAR",F240)),ISNUMBER(SEARCH("ABONO",J240)),EXACT(L240,"P"),EXACT(F240,"P")),"Pendiente / Compromiso","Sin gestionar"))))</f>
        <v>Sin gestionar</v>
      </c>
      <c r="P240" s="44" t="str">
        <f aca="false">IF(B240="","",IF(E240="","Sin definir",IF(ISNUMBER(SEARCH("ITIL",E240)),"ITIL",IF(ISNUMBER(SEARCH("ISO 27001",E240)),"ISO 27001",IF(ISNUMBER(SEARCH("ISO 42001",E240)),"ISO 42001",IF(ISNUMBER(SEARCH("ISO",E240)),"Otras ISO",IF(ISNUMBER(SEARCH("SCRUM",E240)),"SCRUM",IF(ISNUMBER(SEARCH("BRIDGE",E240)),"BRIDGE",IF(ISNUMBER(SEARCH("CDS",E240)),"CDS",IF(ISNUMBER(SEARCH("TOGAF",E240)),"TOGAF",IF(ISNUMBER(SEARCH("DPI",E240)),"DPI",IF(ISNUMBER(SEARCH("DITS",E240)),"DITS",IF(ISNUMBER(SEARCH("AGILE",E240)),"AGILE",IF(ISNUMBER(SEARCH("Ciberseguridad",E240)),"Ciberseguridad","Otros"))))))))))))))</f>
        <v>Sin definir</v>
      </c>
      <c r="Q240" s="44" t="str">
        <f aca="false">IF(B240="","",IF(ISNUMBER(K240),IF(K240&lt;=3,"1-3 meses",IF(K240&lt;=6,"4-6 meses","+6 meses")),"Sin dato registrado"))</f>
        <v>Sin dato registrado</v>
      </c>
      <c r="R240" s="44" t="n">
        <f aca="false">IF(OR(B240="",M240=""),"",RANK(M240,$M$3:$M$306)+COUNTIF($M$3:M240,M240)-1)</f>
        <v>9</v>
      </c>
    </row>
    <row r="241" customFormat="false" ht="15" hidden="false" customHeight="true" outlineLevel="0" collapsed="false">
      <c r="A241" s="50"/>
      <c r="B241" s="1" t="s">
        <v>185</v>
      </c>
      <c r="C241" s="57"/>
      <c r="D241" s="1" t="s">
        <v>22</v>
      </c>
      <c r="I241" s="25" t="n">
        <v>1470000</v>
      </c>
      <c r="M241" s="43" t="n">
        <f aca="false">IF(B241="","",IF(ISNUMBER(I241),I241,IFERROR(VALUE(SUBSTITUTE(SUBSTITUTE(I241,"$",""),".","")),0)))</f>
        <v>1470000</v>
      </c>
      <c r="N241" s="44" t="str">
        <f aca="false">IF(B241="","",PROPER(TRIM(D241)))</f>
        <v>Carolina</v>
      </c>
      <c r="O241" s="44" t="str">
        <f aca="false">IF(B241="","",IF(OR(ISNUMBER(SEARCH("AL DIA",L241)),ISNUMBER(SEARCH("AL DIA",F241))),"Al día",IF(OR(ISNUMBER(SEARCH("QUIETO",L241)),ISNUMBER(SEARCH("QUIETO",F241)),ISNUMBER(SEARCH("ESPERANDO",L241)),ISNUMBER(SEARCH("ESPERANDO",F241))),"Sin respuesta / Inactivo",IF(OR(ISNUMBER(SEARCH("PENDIENTE",L241)),ISNUMBER(SEARCH("PENDIENTE",F241)),ISNUMBER(SEARCH("COMPROMISO",F241)),ISNUMBER(SEARCH("COMPROMISO",L241)),ISNUMBER(SEARCH("PROCESO",F241)),ISNUMBER(SEARCH("LLAMAR",F241)),ISNUMBER(SEARCH("ABONO",J241)),EXACT(L241,"P"),EXACT(F241,"P")),"Pendiente / Compromiso","Sin gestionar"))))</f>
        <v>Sin gestionar</v>
      </c>
      <c r="P241" s="44" t="str">
        <f aca="false">IF(B241="","",IF(E241="","Sin definir",IF(ISNUMBER(SEARCH("ITIL",E241)),"ITIL",IF(ISNUMBER(SEARCH("ISO 27001",E241)),"ISO 27001",IF(ISNUMBER(SEARCH("ISO 42001",E241)),"ISO 42001",IF(ISNUMBER(SEARCH("ISO",E241)),"Otras ISO",IF(ISNUMBER(SEARCH("SCRUM",E241)),"SCRUM",IF(ISNUMBER(SEARCH("BRIDGE",E241)),"BRIDGE",IF(ISNUMBER(SEARCH("CDS",E241)),"CDS",IF(ISNUMBER(SEARCH("TOGAF",E241)),"TOGAF",IF(ISNUMBER(SEARCH("DPI",E241)),"DPI",IF(ISNUMBER(SEARCH("DITS",E241)),"DITS",IF(ISNUMBER(SEARCH("AGILE",E241)),"AGILE",IF(ISNUMBER(SEARCH("Ciberseguridad",E241)),"Ciberseguridad","Otros"))))))))))))))</f>
        <v>Sin definir</v>
      </c>
      <c r="Q241" s="44" t="str">
        <f aca="false">IF(B241="","",IF(ISNUMBER(K241),IF(K241&lt;=3,"1-3 meses",IF(K241&lt;=6,"4-6 meses","+6 meses")),"Sin dato registrado"))</f>
        <v>Sin dato registrado</v>
      </c>
      <c r="R241" s="44" t="n">
        <f aca="false">IF(OR(B241="",M241=""),"",RANK(M241,$M$3:$M$306)+COUNTIF($M$3:M241,M241)-1)</f>
        <v>11</v>
      </c>
    </row>
    <row r="242" customFormat="false" ht="15" hidden="false" customHeight="true" outlineLevel="0" collapsed="false">
      <c r="A242" s="49"/>
      <c r="B242" s="1" t="s">
        <v>186</v>
      </c>
      <c r="C242" s="57"/>
      <c r="D242" s="1" t="s">
        <v>23</v>
      </c>
      <c r="I242" s="25" t="n">
        <v>850000</v>
      </c>
      <c r="M242" s="43" t="n">
        <f aca="false">IF(B242="","",IF(ISNUMBER(I242),I242,IFERROR(VALUE(SUBSTITUTE(SUBSTITUTE(I242,"$",""),".","")),0)))</f>
        <v>850000</v>
      </c>
      <c r="N242" s="44" t="str">
        <f aca="false">IF(B242="","",PROPER(TRIM(D242)))</f>
        <v>Sebas</v>
      </c>
      <c r="O242" s="44" t="str">
        <f aca="false">IF(B242="","",IF(OR(ISNUMBER(SEARCH("AL DIA",L242)),ISNUMBER(SEARCH("AL DIA",F242))),"Al día",IF(OR(ISNUMBER(SEARCH("QUIETO",L242)),ISNUMBER(SEARCH("QUIETO",F242)),ISNUMBER(SEARCH("ESPERANDO",L242)),ISNUMBER(SEARCH("ESPERANDO",F242))),"Sin respuesta / Inactivo",IF(OR(ISNUMBER(SEARCH("PENDIENTE",L242)),ISNUMBER(SEARCH("PENDIENTE",F242)),ISNUMBER(SEARCH("COMPROMISO",F242)),ISNUMBER(SEARCH("COMPROMISO",L242)),ISNUMBER(SEARCH("PROCESO",F242)),ISNUMBER(SEARCH("LLAMAR",F242)),ISNUMBER(SEARCH("ABONO",J242)),EXACT(L242,"P"),EXACT(F242,"P")),"Pendiente / Compromiso","Sin gestionar"))))</f>
        <v>Sin gestionar</v>
      </c>
      <c r="P242" s="44" t="str">
        <f aca="false">IF(B242="","",IF(E242="","Sin definir",IF(ISNUMBER(SEARCH("ITIL",E242)),"ITIL",IF(ISNUMBER(SEARCH("ISO 27001",E242)),"ISO 27001",IF(ISNUMBER(SEARCH("ISO 42001",E242)),"ISO 42001",IF(ISNUMBER(SEARCH("ISO",E242)),"Otras ISO",IF(ISNUMBER(SEARCH("SCRUM",E242)),"SCRUM",IF(ISNUMBER(SEARCH("BRIDGE",E242)),"BRIDGE",IF(ISNUMBER(SEARCH("CDS",E242)),"CDS",IF(ISNUMBER(SEARCH("TOGAF",E242)),"TOGAF",IF(ISNUMBER(SEARCH("DPI",E242)),"DPI",IF(ISNUMBER(SEARCH("DITS",E242)),"DITS",IF(ISNUMBER(SEARCH("AGILE",E242)),"AGILE",IF(ISNUMBER(SEARCH("Ciberseguridad",E242)),"Ciberseguridad","Otros"))))))))))))))</f>
        <v>Sin definir</v>
      </c>
      <c r="Q242" s="44" t="str">
        <f aca="false">IF(B242="","",IF(ISNUMBER(K242),IF(K242&lt;=3,"1-3 meses",IF(K242&lt;=6,"4-6 meses","+6 meses")),"Sin dato registrado"))</f>
        <v>Sin dato registrado</v>
      </c>
      <c r="R242" s="44" t="n">
        <f aca="false">IF(OR(B242="",M242=""),"",RANK(M242,$M$3:$M$306)+COUNTIF($M$3:M242,M242)-1)</f>
        <v>31</v>
      </c>
    </row>
    <row r="243" customFormat="false" ht="15" hidden="false" customHeight="true" outlineLevel="0" collapsed="false">
      <c r="A243" s="50"/>
      <c r="B243" s="1" t="s">
        <v>187</v>
      </c>
      <c r="C243" s="57"/>
      <c r="D243" s="1" t="s">
        <v>21</v>
      </c>
      <c r="I243" s="25" t="n">
        <v>800000</v>
      </c>
      <c r="M243" s="43" t="n">
        <f aca="false">IF(B243="","",IF(ISNUMBER(I243),I243,IFERROR(VALUE(SUBSTITUTE(SUBSTITUTE(I243,"$",""),".","")),0)))</f>
        <v>800000</v>
      </c>
      <c r="N243" s="44" t="str">
        <f aca="false">IF(B243="","",PROPER(TRIM(D243)))</f>
        <v>Ximena</v>
      </c>
      <c r="O243" s="44" t="str">
        <f aca="false">IF(B243="","",IF(OR(ISNUMBER(SEARCH("AL DIA",L243)),ISNUMBER(SEARCH("AL DIA",F243))),"Al día",IF(OR(ISNUMBER(SEARCH("QUIETO",L243)),ISNUMBER(SEARCH("QUIETO",F243)),ISNUMBER(SEARCH("ESPERANDO",L243)),ISNUMBER(SEARCH("ESPERANDO",F243))),"Sin respuesta / Inactivo",IF(OR(ISNUMBER(SEARCH("PENDIENTE",L243)),ISNUMBER(SEARCH("PENDIENTE",F243)),ISNUMBER(SEARCH("COMPROMISO",F243)),ISNUMBER(SEARCH("COMPROMISO",L243)),ISNUMBER(SEARCH("PROCESO",F243)),ISNUMBER(SEARCH("LLAMAR",F243)),ISNUMBER(SEARCH("ABONO",J243)),EXACT(L243,"P"),EXACT(F243,"P")),"Pendiente / Compromiso","Sin gestionar"))))</f>
        <v>Sin gestionar</v>
      </c>
      <c r="P243" s="44" t="str">
        <f aca="false">IF(B243="","",IF(E243="","Sin definir",IF(ISNUMBER(SEARCH("ITIL",E243)),"ITIL",IF(ISNUMBER(SEARCH("ISO 27001",E243)),"ISO 27001",IF(ISNUMBER(SEARCH("ISO 42001",E243)),"ISO 42001",IF(ISNUMBER(SEARCH("ISO",E243)),"Otras ISO",IF(ISNUMBER(SEARCH("SCRUM",E243)),"SCRUM",IF(ISNUMBER(SEARCH("BRIDGE",E243)),"BRIDGE",IF(ISNUMBER(SEARCH("CDS",E243)),"CDS",IF(ISNUMBER(SEARCH("TOGAF",E243)),"TOGAF",IF(ISNUMBER(SEARCH("DPI",E243)),"DPI",IF(ISNUMBER(SEARCH("DITS",E243)),"DITS",IF(ISNUMBER(SEARCH("AGILE",E243)),"AGILE",IF(ISNUMBER(SEARCH("Ciberseguridad",E243)),"Ciberseguridad","Otros"))))))))))))))</f>
        <v>Sin definir</v>
      </c>
      <c r="Q243" s="44" t="str">
        <f aca="false">IF(B243="","",IF(ISNUMBER(K243),IF(K243&lt;=3,"1-3 meses",IF(K243&lt;=6,"4-6 meses","+6 meses")),"Sin dato registrado"))</f>
        <v>Sin dato registrado</v>
      </c>
      <c r="R243" s="44" t="n">
        <f aca="false">IF(OR(B243="",M243=""),"",RANK(M243,$M$3:$M$306)+COUNTIF($M$3:M243,M243)-1)</f>
        <v>33</v>
      </c>
    </row>
    <row r="244" customFormat="false" ht="15" hidden="false" customHeight="true" outlineLevel="0" collapsed="false">
      <c r="A244" s="49"/>
      <c r="B244" s="1" t="s">
        <v>188</v>
      </c>
      <c r="C244" s="57"/>
      <c r="D244" s="1" t="s">
        <v>22</v>
      </c>
      <c r="I244" s="25" t="n">
        <v>1200000</v>
      </c>
      <c r="M244" s="43" t="n">
        <f aca="false">IF(B244="","",IF(ISNUMBER(I244),I244,IFERROR(VALUE(SUBSTITUTE(SUBSTITUTE(I244,"$",""),".","")),0)))</f>
        <v>1200000</v>
      </c>
      <c r="N244" s="44" t="str">
        <f aca="false">IF(B244="","",PROPER(TRIM(D244)))</f>
        <v>Carolina</v>
      </c>
      <c r="O244" s="44" t="str">
        <f aca="false">IF(B244="","",IF(OR(ISNUMBER(SEARCH("AL DIA",L244)),ISNUMBER(SEARCH("AL DIA",F244))),"Al día",IF(OR(ISNUMBER(SEARCH("QUIETO",L244)),ISNUMBER(SEARCH("QUIETO",F244)),ISNUMBER(SEARCH("ESPERANDO",L244)),ISNUMBER(SEARCH("ESPERANDO",F244))),"Sin respuesta / Inactivo",IF(OR(ISNUMBER(SEARCH("PENDIENTE",L244)),ISNUMBER(SEARCH("PENDIENTE",F244)),ISNUMBER(SEARCH("COMPROMISO",F244)),ISNUMBER(SEARCH("COMPROMISO",L244)),ISNUMBER(SEARCH("PROCESO",F244)),ISNUMBER(SEARCH("LLAMAR",F244)),ISNUMBER(SEARCH("ABONO",J244)),EXACT(L244,"P"),EXACT(F244,"P")),"Pendiente / Compromiso","Sin gestionar"))))</f>
        <v>Sin gestionar</v>
      </c>
      <c r="P244" s="44" t="str">
        <f aca="false">IF(B244="","",IF(E244="","Sin definir",IF(ISNUMBER(SEARCH("ITIL",E244)),"ITIL",IF(ISNUMBER(SEARCH("ISO 27001",E244)),"ISO 27001",IF(ISNUMBER(SEARCH("ISO 42001",E244)),"ISO 42001",IF(ISNUMBER(SEARCH("ISO",E244)),"Otras ISO",IF(ISNUMBER(SEARCH("SCRUM",E244)),"SCRUM",IF(ISNUMBER(SEARCH("BRIDGE",E244)),"BRIDGE",IF(ISNUMBER(SEARCH("CDS",E244)),"CDS",IF(ISNUMBER(SEARCH("TOGAF",E244)),"TOGAF",IF(ISNUMBER(SEARCH("DPI",E244)),"DPI",IF(ISNUMBER(SEARCH("DITS",E244)),"DITS",IF(ISNUMBER(SEARCH("AGILE",E244)),"AGILE",IF(ISNUMBER(SEARCH("Ciberseguridad",E244)),"Ciberseguridad","Otros"))))))))))))))</f>
        <v>Sin definir</v>
      </c>
      <c r="Q244" s="44" t="str">
        <f aca="false">IF(B244="","",IF(ISNUMBER(K244),IF(K244&lt;=3,"1-3 meses",IF(K244&lt;=6,"4-6 meses","+6 meses")),"Sin dato registrado"))</f>
        <v>Sin dato registrado</v>
      </c>
      <c r="R244" s="44" t="n">
        <f aca="false">IF(OR(B244="",M244=""),"",RANK(M244,$M$3:$M$306)+COUNTIF($M$3:M244,M244)-1)</f>
        <v>16</v>
      </c>
    </row>
    <row r="245" customFormat="false" ht="15" hidden="false" customHeight="true" outlineLevel="0" collapsed="false">
      <c r="A245" s="50"/>
      <c r="B245" s="1" t="s">
        <v>189</v>
      </c>
      <c r="C245" s="57"/>
      <c r="D245" s="1" t="s">
        <v>23</v>
      </c>
      <c r="I245" s="25" t="n">
        <v>1750000</v>
      </c>
      <c r="M245" s="43" t="n">
        <f aca="false">IF(B245="","",IF(ISNUMBER(I245),I245,IFERROR(VALUE(SUBSTITUTE(SUBSTITUTE(I245,"$",""),".","")),0)))</f>
        <v>1750000</v>
      </c>
      <c r="N245" s="44" t="str">
        <f aca="false">IF(B245="","",PROPER(TRIM(D245)))</f>
        <v>Sebas</v>
      </c>
      <c r="O245" s="44" t="str">
        <f aca="false">IF(B245="","",IF(OR(ISNUMBER(SEARCH("AL DIA",L245)),ISNUMBER(SEARCH("AL DIA",F245))),"Al día",IF(OR(ISNUMBER(SEARCH("QUIETO",L245)),ISNUMBER(SEARCH("QUIETO",F245)),ISNUMBER(SEARCH("ESPERANDO",L245)),ISNUMBER(SEARCH("ESPERANDO",F245))),"Sin respuesta / Inactivo",IF(OR(ISNUMBER(SEARCH("PENDIENTE",L245)),ISNUMBER(SEARCH("PENDIENTE",F245)),ISNUMBER(SEARCH("COMPROMISO",F245)),ISNUMBER(SEARCH("COMPROMISO",L245)),ISNUMBER(SEARCH("PROCESO",F245)),ISNUMBER(SEARCH("LLAMAR",F245)),ISNUMBER(SEARCH("ABONO",J245)),EXACT(L245,"P"),EXACT(F245,"P")),"Pendiente / Compromiso","Sin gestionar"))))</f>
        <v>Sin gestionar</v>
      </c>
      <c r="P245" s="44" t="str">
        <f aca="false">IF(B245="","",IF(E245="","Sin definir",IF(ISNUMBER(SEARCH("ITIL",E245)),"ITIL",IF(ISNUMBER(SEARCH("ISO 27001",E245)),"ISO 27001",IF(ISNUMBER(SEARCH("ISO 42001",E245)),"ISO 42001",IF(ISNUMBER(SEARCH("ISO",E245)),"Otras ISO",IF(ISNUMBER(SEARCH("SCRUM",E245)),"SCRUM",IF(ISNUMBER(SEARCH("BRIDGE",E245)),"BRIDGE",IF(ISNUMBER(SEARCH("CDS",E245)),"CDS",IF(ISNUMBER(SEARCH("TOGAF",E245)),"TOGAF",IF(ISNUMBER(SEARCH("DPI",E245)),"DPI",IF(ISNUMBER(SEARCH("DITS",E245)),"DITS",IF(ISNUMBER(SEARCH("AGILE",E245)),"AGILE",IF(ISNUMBER(SEARCH("Ciberseguridad",E245)),"Ciberseguridad","Otros"))))))))))))))</f>
        <v>Sin definir</v>
      </c>
      <c r="Q245" s="44" t="str">
        <f aca="false">IF(B245="","",IF(ISNUMBER(K245),IF(K245&lt;=3,"1-3 meses",IF(K245&lt;=6,"4-6 meses","+6 meses")),"Sin dato registrado"))</f>
        <v>Sin dato registrado</v>
      </c>
      <c r="R245" s="44" t="n">
        <f aca="false">IF(OR(B245="",M245=""),"",RANK(M245,$M$3:$M$306)+COUNTIF($M$3:M245,M245)-1)</f>
        <v>6</v>
      </c>
    </row>
    <row r="246" customFormat="false" ht="15" hidden="false" customHeight="true" outlineLevel="0" collapsed="false">
      <c r="A246" s="49"/>
      <c r="B246" s="1" t="s">
        <v>190</v>
      </c>
      <c r="C246" s="57"/>
      <c r="D246" s="1" t="s">
        <v>22</v>
      </c>
      <c r="I246" s="25" t="n">
        <v>650000</v>
      </c>
      <c r="M246" s="43" t="n">
        <f aca="false">IF(B246="","",IF(ISNUMBER(I246),I246,IFERROR(VALUE(SUBSTITUTE(SUBSTITUTE(I246,"$",""),".","")),0)))</f>
        <v>650000</v>
      </c>
      <c r="N246" s="44" t="str">
        <f aca="false">IF(B246="","",PROPER(TRIM(D246)))</f>
        <v>Carolina</v>
      </c>
      <c r="O246" s="44" t="str">
        <f aca="false">IF(B246="","",IF(OR(ISNUMBER(SEARCH("AL DIA",L246)),ISNUMBER(SEARCH("AL DIA",F246))),"Al día",IF(OR(ISNUMBER(SEARCH("QUIETO",L246)),ISNUMBER(SEARCH("QUIETO",F246)),ISNUMBER(SEARCH("ESPERANDO",L246)),ISNUMBER(SEARCH("ESPERANDO",F246))),"Sin respuesta / Inactivo",IF(OR(ISNUMBER(SEARCH("PENDIENTE",L246)),ISNUMBER(SEARCH("PENDIENTE",F246)),ISNUMBER(SEARCH("COMPROMISO",F246)),ISNUMBER(SEARCH("COMPROMISO",L246)),ISNUMBER(SEARCH("PROCESO",F246)),ISNUMBER(SEARCH("LLAMAR",F246)),ISNUMBER(SEARCH("ABONO",J246)),EXACT(L246,"P"),EXACT(F246,"P")),"Pendiente / Compromiso","Sin gestionar"))))</f>
        <v>Sin gestionar</v>
      </c>
      <c r="P246" s="44" t="str">
        <f aca="false">IF(B246="","",IF(E246="","Sin definir",IF(ISNUMBER(SEARCH("ITIL",E246)),"ITIL",IF(ISNUMBER(SEARCH("ISO 27001",E246)),"ISO 27001",IF(ISNUMBER(SEARCH("ISO 42001",E246)),"ISO 42001",IF(ISNUMBER(SEARCH("ISO",E246)),"Otras ISO",IF(ISNUMBER(SEARCH("SCRUM",E246)),"SCRUM",IF(ISNUMBER(SEARCH("BRIDGE",E246)),"BRIDGE",IF(ISNUMBER(SEARCH("CDS",E246)),"CDS",IF(ISNUMBER(SEARCH("TOGAF",E246)),"TOGAF",IF(ISNUMBER(SEARCH("DPI",E246)),"DPI",IF(ISNUMBER(SEARCH("DITS",E246)),"DITS",IF(ISNUMBER(SEARCH("AGILE",E246)),"AGILE",IF(ISNUMBER(SEARCH("Ciberseguridad",E246)),"Ciberseguridad","Otros"))))))))))))))</f>
        <v>Sin definir</v>
      </c>
      <c r="Q246" s="44" t="str">
        <f aca="false">IF(B246="","",IF(ISNUMBER(K246),IF(K246&lt;=3,"1-3 meses",IF(K246&lt;=6,"4-6 meses","+6 meses")),"Sin dato registrado"))</f>
        <v>Sin dato registrado</v>
      </c>
      <c r="R246" s="44" t="n">
        <f aca="false">IF(OR(B246="",M246=""),"",RANK(M246,$M$3:$M$306)+COUNTIF($M$3:M246,M246)-1)</f>
        <v>42</v>
      </c>
    </row>
    <row r="247" customFormat="false" ht="15" hidden="false" customHeight="true" outlineLevel="0" collapsed="false">
      <c r="B247" s="1" t="s">
        <v>191</v>
      </c>
      <c r="C247" s="57"/>
      <c r="D247" s="1" t="s">
        <v>21</v>
      </c>
      <c r="I247" s="25" t="n">
        <v>350000</v>
      </c>
      <c r="M247" s="43" t="n">
        <f aca="false">IF(B247="","",IF(ISNUMBER(I247),I247,IFERROR(VALUE(SUBSTITUTE(SUBSTITUTE(I247,"$",""),".","")),0)))</f>
        <v>350000</v>
      </c>
      <c r="N247" s="44" t="str">
        <f aca="false">IF(B247="","",PROPER(TRIM(D247)))</f>
        <v>Ximena</v>
      </c>
      <c r="O247" s="44" t="str">
        <f aca="false">IF(B247="","",IF(OR(ISNUMBER(SEARCH("AL DIA",L247)),ISNUMBER(SEARCH("AL DIA",F247))),"Al día",IF(OR(ISNUMBER(SEARCH("QUIETO",L247)),ISNUMBER(SEARCH("QUIETO",F247)),ISNUMBER(SEARCH("ESPERANDO",L247)),ISNUMBER(SEARCH("ESPERANDO",F247))),"Sin respuesta / Inactivo",IF(OR(ISNUMBER(SEARCH("PENDIENTE",L247)),ISNUMBER(SEARCH("PENDIENTE",F247)),ISNUMBER(SEARCH("COMPROMISO",F247)),ISNUMBER(SEARCH("COMPROMISO",L247)),ISNUMBER(SEARCH("PROCESO",F247)),ISNUMBER(SEARCH("LLAMAR",F247)),ISNUMBER(SEARCH("ABONO",J247)),EXACT(L247,"P"),EXACT(F247,"P")),"Pendiente / Compromiso","Sin gestionar"))))</f>
        <v>Sin gestionar</v>
      </c>
      <c r="P247" s="44" t="str">
        <f aca="false">IF(B247="","",IF(E247="","Sin definir",IF(ISNUMBER(SEARCH("ITIL",E247)),"ITIL",IF(ISNUMBER(SEARCH("ISO 27001",E247)),"ISO 27001",IF(ISNUMBER(SEARCH("ISO 42001",E247)),"ISO 42001",IF(ISNUMBER(SEARCH("ISO",E247)),"Otras ISO",IF(ISNUMBER(SEARCH("SCRUM",E247)),"SCRUM",IF(ISNUMBER(SEARCH("BRIDGE",E247)),"BRIDGE",IF(ISNUMBER(SEARCH("CDS",E247)),"CDS",IF(ISNUMBER(SEARCH("TOGAF",E247)),"TOGAF",IF(ISNUMBER(SEARCH("DPI",E247)),"DPI",IF(ISNUMBER(SEARCH("DITS",E247)),"DITS",IF(ISNUMBER(SEARCH("AGILE",E247)),"AGILE",IF(ISNUMBER(SEARCH("Ciberseguridad",E247)),"Ciberseguridad","Otros"))))))))))))))</f>
        <v>Sin definir</v>
      </c>
      <c r="Q247" s="44" t="str">
        <f aca="false">IF(B247="","",IF(ISNUMBER(K247),IF(K247&lt;=3,"1-3 meses",IF(K247&lt;=6,"4-6 meses","+6 meses")),"Sin dato registrado"))</f>
        <v>Sin dato registrado</v>
      </c>
      <c r="R247" s="44" t="n">
        <f aca="false">IF(OR(B247="",M247=""),"",RANK(M247,$M$3:$M$306)+COUNTIF($M$3:M247,M247)-1)</f>
        <v>53</v>
      </c>
    </row>
    <row r="248" customFormat="false" ht="15" hidden="false" customHeight="true" outlineLevel="0" collapsed="false">
      <c r="B248" s="1" t="s">
        <v>192</v>
      </c>
      <c r="C248" s="57"/>
      <c r="D248" s="1" t="s">
        <v>22</v>
      </c>
      <c r="E248" s="1" t="s">
        <v>193</v>
      </c>
      <c r="I248" s="25" t="n">
        <v>1000000</v>
      </c>
      <c r="M248" s="43" t="n">
        <f aca="false">IF(B248="","",IF(ISNUMBER(I248),I248,IFERROR(VALUE(SUBSTITUTE(SUBSTITUTE(I248,"$",""),".","")),0)))</f>
        <v>1000000</v>
      </c>
      <c r="N248" s="44" t="str">
        <f aca="false">IF(B248="","",PROPER(TRIM(D248)))</f>
        <v>Carolina</v>
      </c>
      <c r="O248" s="44" t="str">
        <f aca="false">IF(B248="","",IF(OR(ISNUMBER(SEARCH("AL DIA",L248)),ISNUMBER(SEARCH("AL DIA",F248))),"Al día",IF(OR(ISNUMBER(SEARCH("QUIETO",L248)),ISNUMBER(SEARCH("QUIETO",F248)),ISNUMBER(SEARCH("ESPERANDO",L248)),ISNUMBER(SEARCH("ESPERANDO",F248))),"Sin respuesta / Inactivo",IF(OR(ISNUMBER(SEARCH("PENDIENTE",L248)),ISNUMBER(SEARCH("PENDIENTE",F248)),ISNUMBER(SEARCH("COMPROMISO",F248)),ISNUMBER(SEARCH("COMPROMISO",L248)),ISNUMBER(SEARCH("PROCESO",F248)),ISNUMBER(SEARCH("LLAMAR",F248)),ISNUMBER(SEARCH("ABONO",J248)),EXACT(L248,"P"),EXACT(F248,"P")),"Pendiente / Compromiso","Sin gestionar"))))</f>
        <v>Sin gestionar</v>
      </c>
      <c r="P248" s="44" t="str">
        <f aca="false">IF(B248="","",IF(E248="","Sin definir",IF(ISNUMBER(SEARCH("ITIL",E248)),"ITIL",IF(ISNUMBER(SEARCH("ISO 27001",E248)),"ISO 27001",IF(ISNUMBER(SEARCH("ISO 42001",E248)),"ISO 42001",IF(ISNUMBER(SEARCH("ISO",E248)),"Otras ISO",IF(ISNUMBER(SEARCH("SCRUM",E248)),"SCRUM",IF(ISNUMBER(SEARCH("BRIDGE",E248)),"BRIDGE",IF(ISNUMBER(SEARCH("CDS",E248)),"CDS",IF(ISNUMBER(SEARCH("TOGAF",E248)),"TOGAF",IF(ISNUMBER(SEARCH("DPI",E248)),"DPI",IF(ISNUMBER(SEARCH("DITS",E248)),"DITS",IF(ISNUMBER(SEARCH("AGILE",E248)),"AGILE",IF(ISNUMBER(SEARCH("Ciberseguridad",E248)),"Ciberseguridad","Otros"))))))))))))))</f>
        <v>Otras ISO</v>
      </c>
      <c r="Q248" s="44" t="str">
        <f aca="false">IF(B248="","",IF(ISNUMBER(K248),IF(K248&lt;=3,"1-3 meses",IF(K248&lt;=6,"4-6 meses","+6 meses")),"Sin dato registrado"))</f>
        <v>Sin dato registrado</v>
      </c>
      <c r="R248" s="44" t="n">
        <f aca="false">IF(OR(B248="",M248=""),"",RANK(M248,$M$3:$M$306)+COUNTIF($M$3:M248,M248)-1)</f>
        <v>21</v>
      </c>
    </row>
    <row r="249" customFormat="false" ht="15" hidden="false" customHeight="true" outlineLevel="0" collapsed="false">
      <c r="C249" s="57"/>
      <c r="M249" s="44" t="str">
        <f aca="false">IF(B249="","",IF(ISNUMBER(I249),I249,IFERROR(VALUE(SUBSTITUTE(SUBSTITUTE(I249,"$",""),".","")),0)))</f>
        <v/>
      </c>
      <c r="N249" s="44" t="str">
        <f aca="false">IF(B249="","",PROPER(TRIM(D249)))</f>
        <v/>
      </c>
      <c r="O249" s="44" t="str">
        <f aca="false">IF(B249="","",IF(OR(ISNUMBER(SEARCH("AL DIA",L249)),ISNUMBER(SEARCH("AL DIA",F249))),"Al día",IF(OR(ISNUMBER(SEARCH("QUIETO",L249)),ISNUMBER(SEARCH("QUIETO",F249)),ISNUMBER(SEARCH("ESPERANDO",L249)),ISNUMBER(SEARCH("ESPERANDO",F249))),"Sin respuesta / Inactivo",IF(OR(ISNUMBER(SEARCH("PENDIENTE",L249)),ISNUMBER(SEARCH("PENDIENTE",F249)),ISNUMBER(SEARCH("COMPROMISO",F249)),ISNUMBER(SEARCH("COMPROMISO",L249)),ISNUMBER(SEARCH("PROCESO",F249)),ISNUMBER(SEARCH("LLAMAR",F249)),ISNUMBER(SEARCH("ABONO",J249)),EXACT(L249,"P"),EXACT(F249,"P")),"Pendiente / Compromiso","Sin gestionar"))))</f>
        <v/>
      </c>
      <c r="P249" s="44" t="str">
        <f aca="false">IF(B249="","",IF(E249="","Sin definir",IF(ISNUMBER(SEARCH("ITIL",E249)),"ITIL",IF(ISNUMBER(SEARCH("ISO 27001",E249)),"ISO 27001",IF(ISNUMBER(SEARCH("ISO 42001",E249)),"ISO 42001",IF(ISNUMBER(SEARCH("ISO",E249)),"Otras ISO",IF(ISNUMBER(SEARCH("SCRUM",E249)),"SCRUM",IF(ISNUMBER(SEARCH("BRIDGE",E249)),"BRIDGE",IF(ISNUMBER(SEARCH("CDS",E249)),"CDS",IF(ISNUMBER(SEARCH("TOGAF",E249)),"TOGAF",IF(ISNUMBER(SEARCH("DPI",E249)),"DPI",IF(ISNUMBER(SEARCH("DITS",E249)),"DITS",IF(ISNUMBER(SEARCH("AGILE",E249)),"AGILE",IF(ISNUMBER(SEARCH("Ciberseguridad",E249)),"Ciberseguridad","Otros"))))))))))))))</f>
        <v/>
      </c>
      <c r="Q249" s="44" t="str">
        <f aca="false">IF(B249="","",IF(ISNUMBER(K249),IF(K249&lt;=3,"1-3 meses",IF(K249&lt;=6,"4-6 meses","+6 meses")),"Sin dato registrado"))</f>
        <v/>
      </c>
      <c r="R249" s="44" t="str">
        <f aca="false">IF(OR(B249="",M249=""),"",RANK(M249,$M$3:$M$306)+COUNTIF($M$3:M249,M249)-1)</f>
        <v/>
      </c>
    </row>
    <row r="250" customFormat="false" ht="15" hidden="false" customHeight="true" outlineLevel="0" collapsed="false">
      <c r="C250" s="57"/>
      <c r="M250" s="44" t="str">
        <f aca="false">IF(B250="","",IF(ISNUMBER(I250),I250,IFERROR(VALUE(SUBSTITUTE(SUBSTITUTE(I250,"$",""),".","")),0)))</f>
        <v/>
      </c>
      <c r="N250" s="44" t="str">
        <f aca="false">IF(B250="","",PROPER(TRIM(D250)))</f>
        <v/>
      </c>
      <c r="O250" s="44" t="str">
        <f aca="false">IF(B250="","",IF(OR(ISNUMBER(SEARCH("AL DIA",L250)),ISNUMBER(SEARCH("AL DIA",F250))),"Al día",IF(OR(ISNUMBER(SEARCH("QUIETO",L250)),ISNUMBER(SEARCH("QUIETO",F250)),ISNUMBER(SEARCH("ESPERANDO",L250)),ISNUMBER(SEARCH("ESPERANDO",F250))),"Sin respuesta / Inactivo",IF(OR(ISNUMBER(SEARCH("PENDIENTE",L250)),ISNUMBER(SEARCH("PENDIENTE",F250)),ISNUMBER(SEARCH("COMPROMISO",F250)),ISNUMBER(SEARCH("COMPROMISO",L250)),ISNUMBER(SEARCH("PROCESO",F250)),ISNUMBER(SEARCH("LLAMAR",F250)),ISNUMBER(SEARCH("ABONO",J250)),EXACT(L250,"P"),EXACT(F250,"P")),"Pendiente / Compromiso","Sin gestionar"))))</f>
        <v/>
      </c>
      <c r="P250" s="44" t="str">
        <f aca="false">IF(B250="","",IF(E250="","Sin definir",IF(ISNUMBER(SEARCH("ITIL",E250)),"ITIL",IF(ISNUMBER(SEARCH("ISO 27001",E250)),"ISO 27001",IF(ISNUMBER(SEARCH("ISO 42001",E250)),"ISO 42001",IF(ISNUMBER(SEARCH("ISO",E250)),"Otras ISO",IF(ISNUMBER(SEARCH("SCRUM",E250)),"SCRUM",IF(ISNUMBER(SEARCH("BRIDGE",E250)),"BRIDGE",IF(ISNUMBER(SEARCH("CDS",E250)),"CDS",IF(ISNUMBER(SEARCH("TOGAF",E250)),"TOGAF",IF(ISNUMBER(SEARCH("DPI",E250)),"DPI",IF(ISNUMBER(SEARCH("DITS",E250)),"DITS",IF(ISNUMBER(SEARCH("AGILE",E250)),"AGILE",IF(ISNUMBER(SEARCH("Ciberseguridad",E250)),"Ciberseguridad","Otros"))))))))))))))</f>
        <v/>
      </c>
      <c r="Q250" s="44" t="str">
        <f aca="false">IF(B250="","",IF(ISNUMBER(K250),IF(K250&lt;=3,"1-3 meses",IF(K250&lt;=6,"4-6 meses","+6 meses")),"Sin dato registrado"))</f>
        <v/>
      </c>
      <c r="R250" s="44" t="str">
        <f aca="false">IF(OR(B250="",M250=""),"",RANK(M250,$M$3:$M$306)+COUNTIF($M$3:M250,M250)-1)</f>
        <v/>
      </c>
    </row>
    <row r="251" customFormat="false" ht="15" hidden="false" customHeight="true" outlineLevel="0" collapsed="false">
      <c r="C251" s="57"/>
      <c r="M251" s="44" t="str">
        <f aca="false">IF(B251="","",IF(ISNUMBER(I251),I251,IFERROR(VALUE(SUBSTITUTE(SUBSTITUTE(I251,"$",""),".","")),0)))</f>
        <v/>
      </c>
      <c r="N251" s="44" t="str">
        <f aca="false">IF(B251="","",PROPER(TRIM(D251)))</f>
        <v/>
      </c>
      <c r="O251" s="44" t="str">
        <f aca="false">IF(B251="","",IF(OR(ISNUMBER(SEARCH("AL DIA",L251)),ISNUMBER(SEARCH("AL DIA",F251))),"Al día",IF(OR(ISNUMBER(SEARCH("QUIETO",L251)),ISNUMBER(SEARCH("QUIETO",F251)),ISNUMBER(SEARCH("ESPERANDO",L251)),ISNUMBER(SEARCH("ESPERANDO",F251))),"Sin respuesta / Inactivo",IF(OR(ISNUMBER(SEARCH("PENDIENTE",L251)),ISNUMBER(SEARCH("PENDIENTE",F251)),ISNUMBER(SEARCH("COMPROMISO",F251)),ISNUMBER(SEARCH("COMPROMISO",L251)),ISNUMBER(SEARCH("PROCESO",F251)),ISNUMBER(SEARCH("LLAMAR",F251)),ISNUMBER(SEARCH("ABONO",J251)),EXACT(L251,"P"),EXACT(F251,"P")),"Pendiente / Compromiso","Sin gestionar"))))</f>
        <v/>
      </c>
      <c r="P251" s="44" t="str">
        <f aca="false">IF(B251="","",IF(E251="","Sin definir",IF(ISNUMBER(SEARCH("ITIL",E251)),"ITIL",IF(ISNUMBER(SEARCH("ISO 27001",E251)),"ISO 27001",IF(ISNUMBER(SEARCH("ISO 42001",E251)),"ISO 42001",IF(ISNUMBER(SEARCH("ISO",E251)),"Otras ISO",IF(ISNUMBER(SEARCH("SCRUM",E251)),"SCRUM",IF(ISNUMBER(SEARCH("BRIDGE",E251)),"BRIDGE",IF(ISNUMBER(SEARCH("CDS",E251)),"CDS",IF(ISNUMBER(SEARCH("TOGAF",E251)),"TOGAF",IF(ISNUMBER(SEARCH("DPI",E251)),"DPI",IF(ISNUMBER(SEARCH("DITS",E251)),"DITS",IF(ISNUMBER(SEARCH("AGILE",E251)),"AGILE",IF(ISNUMBER(SEARCH("Ciberseguridad",E251)),"Ciberseguridad","Otros"))))))))))))))</f>
        <v/>
      </c>
      <c r="Q251" s="44" t="str">
        <f aca="false">IF(B251="","",IF(ISNUMBER(K251),IF(K251&lt;=3,"1-3 meses",IF(K251&lt;=6,"4-6 meses","+6 meses")),"Sin dato registrado"))</f>
        <v/>
      </c>
      <c r="R251" s="44" t="str">
        <f aca="false">IF(OR(B251="",M251=""),"",RANK(M251,$M$3:$M$306)+COUNTIF($M$3:M251,M251)-1)</f>
        <v/>
      </c>
    </row>
    <row r="252" customFormat="false" ht="15" hidden="false" customHeight="true" outlineLevel="0" collapsed="false">
      <c r="C252" s="57"/>
      <c r="M252" s="44" t="str">
        <f aca="false">IF(B252="","",IF(ISNUMBER(I252),I252,IFERROR(VALUE(SUBSTITUTE(SUBSTITUTE(I252,"$",""),".","")),0)))</f>
        <v/>
      </c>
      <c r="N252" s="44" t="str">
        <f aca="false">IF(B252="","",PROPER(TRIM(D252)))</f>
        <v/>
      </c>
      <c r="O252" s="44" t="str">
        <f aca="false">IF(B252="","",IF(OR(ISNUMBER(SEARCH("AL DIA",L252)),ISNUMBER(SEARCH("AL DIA",F252))),"Al día",IF(OR(ISNUMBER(SEARCH("QUIETO",L252)),ISNUMBER(SEARCH("QUIETO",F252)),ISNUMBER(SEARCH("ESPERANDO",L252)),ISNUMBER(SEARCH("ESPERANDO",F252))),"Sin respuesta / Inactivo",IF(OR(ISNUMBER(SEARCH("PENDIENTE",L252)),ISNUMBER(SEARCH("PENDIENTE",F252)),ISNUMBER(SEARCH("COMPROMISO",F252)),ISNUMBER(SEARCH("COMPROMISO",L252)),ISNUMBER(SEARCH("PROCESO",F252)),ISNUMBER(SEARCH("LLAMAR",F252)),ISNUMBER(SEARCH("ABONO",J252)),EXACT(L252,"P"),EXACT(F252,"P")),"Pendiente / Compromiso","Sin gestionar"))))</f>
        <v/>
      </c>
      <c r="P252" s="44" t="str">
        <f aca="false">IF(B252="","",IF(E252="","Sin definir",IF(ISNUMBER(SEARCH("ITIL",E252)),"ITIL",IF(ISNUMBER(SEARCH("ISO 27001",E252)),"ISO 27001",IF(ISNUMBER(SEARCH("ISO 42001",E252)),"ISO 42001",IF(ISNUMBER(SEARCH("ISO",E252)),"Otras ISO",IF(ISNUMBER(SEARCH("SCRUM",E252)),"SCRUM",IF(ISNUMBER(SEARCH("BRIDGE",E252)),"BRIDGE",IF(ISNUMBER(SEARCH("CDS",E252)),"CDS",IF(ISNUMBER(SEARCH("TOGAF",E252)),"TOGAF",IF(ISNUMBER(SEARCH("DPI",E252)),"DPI",IF(ISNUMBER(SEARCH("DITS",E252)),"DITS",IF(ISNUMBER(SEARCH("AGILE",E252)),"AGILE",IF(ISNUMBER(SEARCH("Ciberseguridad",E252)),"Ciberseguridad","Otros"))))))))))))))</f>
        <v/>
      </c>
      <c r="Q252" s="44" t="str">
        <f aca="false">IF(B252="","",IF(ISNUMBER(K252),IF(K252&lt;=3,"1-3 meses",IF(K252&lt;=6,"4-6 meses","+6 meses")),"Sin dato registrado"))</f>
        <v/>
      </c>
      <c r="R252" s="44" t="str">
        <f aca="false">IF(OR(B252="",M252=""),"",RANK(M252,$M$3:$M$306)+COUNTIF($M$3:M252,M252)-1)</f>
        <v/>
      </c>
    </row>
    <row r="253" customFormat="false" ht="15" hidden="false" customHeight="true" outlineLevel="0" collapsed="false">
      <c r="C253" s="57"/>
      <c r="M253" s="44" t="str">
        <f aca="false">IF(B253="","",IF(ISNUMBER(I253),I253,IFERROR(VALUE(SUBSTITUTE(SUBSTITUTE(I253,"$",""),".","")),0)))</f>
        <v/>
      </c>
      <c r="N253" s="44" t="str">
        <f aca="false">IF(B253="","",PROPER(TRIM(D253)))</f>
        <v/>
      </c>
      <c r="O253" s="44" t="str">
        <f aca="false">IF(B253="","",IF(OR(ISNUMBER(SEARCH("AL DIA",L253)),ISNUMBER(SEARCH("AL DIA",F253))),"Al día",IF(OR(ISNUMBER(SEARCH("QUIETO",L253)),ISNUMBER(SEARCH("QUIETO",F253)),ISNUMBER(SEARCH("ESPERANDO",L253)),ISNUMBER(SEARCH("ESPERANDO",F253))),"Sin respuesta / Inactivo",IF(OR(ISNUMBER(SEARCH("PENDIENTE",L253)),ISNUMBER(SEARCH("PENDIENTE",F253)),ISNUMBER(SEARCH("COMPROMISO",F253)),ISNUMBER(SEARCH("COMPROMISO",L253)),ISNUMBER(SEARCH("PROCESO",F253)),ISNUMBER(SEARCH("LLAMAR",F253)),ISNUMBER(SEARCH("ABONO",J253)),EXACT(L253,"P"),EXACT(F253,"P")),"Pendiente / Compromiso","Sin gestionar"))))</f>
        <v/>
      </c>
      <c r="P253" s="44" t="str">
        <f aca="false">IF(B253="","",IF(E253="","Sin definir",IF(ISNUMBER(SEARCH("ITIL",E253)),"ITIL",IF(ISNUMBER(SEARCH("ISO 27001",E253)),"ISO 27001",IF(ISNUMBER(SEARCH("ISO 42001",E253)),"ISO 42001",IF(ISNUMBER(SEARCH("ISO",E253)),"Otras ISO",IF(ISNUMBER(SEARCH("SCRUM",E253)),"SCRUM",IF(ISNUMBER(SEARCH("BRIDGE",E253)),"BRIDGE",IF(ISNUMBER(SEARCH("CDS",E253)),"CDS",IF(ISNUMBER(SEARCH("TOGAF",E253)),"TOGAF",IF(ISNUMBER(SEARCH("DPI",E253)),"DPI",IF(ISNUMBER(SEARCH("DITS",E253)),"DITS",IF(ISNUMBER(SEARCH("AGILE",E253)),"AGILE",IF(ISNUMBER(SEARCH("Ciberseguridad",E253)),"Ciberseguridad","Otros"))))))))))))))</f>
        <v/>
      </c>
      <c r="Q253" s="44" t="str">
        <f aca="false">IF(B253="","",IF(ISNUMBER(K253),IF(K253&lt;=3,"1-3 meses",IF(K253&lt;=6,"4-6 meses","+6 meses")),"Sin dato registrado"))</f>
        <v/>
      </c>
      <c r="R253" s="44" t="str">
        <f aca="false">IF(OR(B253="",M253=""),"",RANK(M253,$M$3:$M$306)+COUNTIF($M$3:M253,M253)-1)</f>
        <v/>
      </c>
    </row>
    <row r="254" customFormat="false" ht="15" hidden="false" customHeight="true" outlineLevel="0" collapsed="false">
      <c r="M254" s="44" t="str">
        <f aca="false">IF(B254="","",IF(ISNUMBER(I254),I254,IFERROR(VALUE(SUBSTITUTE(SUBSTITUTE(I254,"$",""),".","")),0)))</f>
        <v/>
      </c>
      <c r="N254" s="44" t="str">
        <f aca="false">IF(B254="","",PROPER(TRIM(D254)))</f>
        <v/>
      </c>
      <c r="O254" s="44" t="str">
        <f aca="false">IF(B254="","",IF(OR(ISNUMBER(SEARCH("AL DIA",L254)),ISNUMBER(SEARCH("AL DIA",F254))),"Al día",IF(OR(ISNUMBER(SEARCH("QUIETO",L254)),ISNUMBER(SEARCH("QUIETO",F254)),ISNUMBER(SEARCH("ESPERANDO",L254)),ISNUMBER(SEARCH("ESPERANDO",F254))),"Sin respuesta / Inactivo",IF(OR(ISNUMBER(SEARCH("PENDIENTE",L254)),ISNUMBER(SEARCH("PENDIENTE",F254)),ISNUMBER(SEARCH("COMPROMISO",F254)),ISNUMBER(SEARCH("COMPROMISO",L254)),ISNUMBER(SEARCH("PROCESO",F254)),ISNUMBER(SEARCH("LLAMAR",F254)),ISNUMBER(SEARCH("ABONO",J254)),EXACT(L254,"P"),EXACT(F254,"P")),"Pendiente / Compromiso","Sin gestionar"))))</f>
        <v/>
      </c>
      <c r="P254" s="44" t="str">
        <f aca="false">IF(B254="","",IF(E254="","Sin definir",IF(ISNUMBER(SEARCH("ITIL",E254)),"ITIL",IF(ISNUMBER(SEARCH("ISO 27001",E254)),"ISO 27001",IF(ISNUMBER(SEARCH("ISO 42001",E254)),"ISO 42001",IF(ISNUMBER(SEARCH("ISO",E254)),"Otras ISO",IF(ISNUMBER(SEARCH("SCRUM",E254)),"SCRUM",IF(ISNUMBER(SEARCH("BRIDGE",E254)),"BRIDGE",IF(ISNUMBER(SEARCH("CDS",E254)),"CDS",IF(ISNUMBER(SEARCH("TOGAF",E254)),"TOGAF",IF(ISNUMBER(SEARCH("DPI",E254)),"DPI",IF(ISNUMBER(SEARCH("DITS",E254)),"DITS",IF(ISNUMBER(SEARCH("AGILE",E254)),"AGILE",IF(ISNUMBER(SEARCH("Ciberseguridad",E254)),"Ciberseguridad","Otros"))))))))))))))</f>
        <v/>
      </c>
      <c r="Q254" s="44" t="str">
        <f aca="false">IF(B254="","",IF(ISNUMBER(K254),IF(K254&lt;=3,"1-3 meses",IF(K254&lt;=6,"4-6 meses","+6 meses")),"Sin dato registrado"))</f>
        <v/>
      </c>
      <c r="R254" s="44" t="str">
        <f aca="false">IF(OR(B254="",M254=""),"",RANK(M254,$M$3:$M$306)+COUNTIF($M$3:M254,M254)-1)</f>
        <v/>
      </c>
    </row>
    <row r="255" customFormat="false" ht="15" hidden="false" customHeight="true" outlineLevel="0" collapsed="false">
      <c r="M255" s="44" t="str">
        <f aca="false">IF(B255="","",IF(ISNUMBER(I255),I255,IFERROR(VALUE(SUBSTITUTE(SUBSTITUTE(I255,"$",""),".","")),0)))</f>
        <v/>
      </c>
      <c r="N255" s="44" t="str">
        <f aca="false">IF(B255="","",PROPER(TRIM(D255)))</f>
        <v/>
      </c>
      <c r="O255" s="44" t="str">
        <f aca="false">IF(B255="","",IF(OR(ISNUMBER(SEARCH("AL DIA",L255)),ISNUMBER(SEARCH("AL DIA",F255))),"Al día",IF(OR(ISNUMBER(SEARCH("QUIETO",L255)),ISNUMBER(SEARCH("QUIETO",F255)),ISNUMBER(SEARCH("ESPERANDO",L255)),ISNUMBER(SEARCH("ESPERANDO",F255))),"Sin respuesta / Inactivo",IF(OR(ISNUMBER(SEARCH("PENDIENTE",L255)),ISNUMBER(SEARCH("PENDIENTE",F255)),ISNUMBER(SEARCH("COMPROMISO",F255)),ISNUMBER(SEARCH("COMPROMISO",L255)),ISNUMBER(SEARCH("PROCESO",F255)),ISNUMBER(SEARCH("LLAMAR",F255)),ISNUMBER(SEARCH("ABONO",J255)),EXACT(L255,"P"),EXACT(F255,"P")),"Pendiente / Compromiso","Sin gestionar"))))</f>
        <v/>
      </c>
      <c r="P255" s="44" t="str">
        <f aca="false">IF(B255="","",IF(E255="","Sin definir",IF(ISNUMBER(SEARCH("ITIL",E255)),"ITIL",IF(ISNUMBER(SEARCH("ISO 27001",E255)),"ISO 27001",IF(ISNUMBER(SEARCH("ISO 42001",E255)),"ISO 42001",IF(ISNUMBER(SEARCH("ISO",E255)),"Otras ISO",IF(ISNUMBER(SEARCH("SCRUM",E255)),"SCRUM",IF(ISNUMBER(SEARCH("BRIDGE",E255)),"BRIDGE",IF(ISNUMBER(SEARCH("CDS",E255)),"CDS",IF(ISNUMBER(SEARCH("TOGAF",E255)),"TOGAF",IF(ISNUMBER(SEARCH("DPI",E255)),"DPI",IF(ISNUMBER(SEARCH("DITS",E255)),"DITS",IF(ISNUMBER(SEARCH("AGILE",E255)),"AGILE",IF(ISNUMBER(SEARCH("Ciberseguridad",E255)),"Ciberseguridad","Otros"))))))))))))))</f>
        <v/>
      </c>
      <c r="Q255" s="44" t="str">
        <f aca="false">IF(B255="","",IF(ISNUMBER(K255),IF(K255&lt;=3,"1-3 meses",IF(K255&lt;=6,"4-6 meses","+6 meses")),"Sin dato registrado"))</f>
        <v/>
      </c>
      <c r="R255" s="44" t="str">
        <f aca="false">IF(OR(B255="",M255=""),"",RANK(M255,$M$3:$M$306)+COUNTIF($M$3:M255,M255)-1)</f>
        <v/>
      </c>
    </row>
    <row r="256" customFormat="false" ht="15" hidden="false" customHeight="true" outlineLevel="0" collapsed="false">
      <c r="M256" s="44" t="str">
        <f aca="false">IF(B256="","",IF(ISNUMBER(I256),I256,IFERROR(VALUE(SUBSTITUTE(SUBSTITUTE(I256,"$",""),".","")),0)))</f>
        <v/>
      </c>
      <c r="N256" s="44" t="str">
        <f aca="false">IF(B256="","",PROPER(TRIM(D256)))</f>
        <v/>
      </c>
      <c r="O256" s="44" t="str">
        <f aca="false">IF(B256="","",IF(OR(ISNUMBER(SEARCH("AL DIA",L256)),ISNUMBER(SEARCH("AL DIA",F256))),"Al día",IF(OR(ISNUMBER(SEARCH("QUIETO",L256)),ISNUMBER(SEARCH("QUIETO",F256)),ISNUMBER(SEARCH("ESPERANDO",L256)),ISNUMBER(SEARCH("ESPERANDO",F256))),"Sin respuesta / Inactivo",IF(OR(ISNUMBER(SEARCH("PENDIENTE",L256)),ISNUMBER(SEARCH("PENDIENTE",F256)),ISNUMBER(SEARCH("COMPROMISO",F256)),ISNUMBER(SEARCH("COMPROMISO",L256)),ISNUMBER(SEARCH("PROCESO",F256)),ISNUMBER(SEARCH("LLAMAR",F256)),ISNUMBER(SEARCH("ABONO",J256)),EXACT(L256,"P"),EXACT(F256,"P")),"Pendiente / Compromiso","Sin gestionar"))))</f>
        <v/>
      </c>
      <c r="P256" s="44" t="str">
        <f aca="false">IF(B256="","",IF(E256="","Sin definir",IF(ISNUMBER(SEARCH("ITIL",E256)),"ITIL",IF(ISNUMBER(SEARCH("ISO 27001",E256)),"ISO 27001",IF(ISNUMBER(SEARCH("ISO 42001",E256)),"ISO 42001",IF(ISNUMBER(SEARCH("ISO",E256)),"Otras ISO",IF(ISNUMBER(SEARCH("SCRUM",E256)),"SCRUM",IF(ISNUMBER(SEARCH("BRIDGE",E256)),"BRIDGE",IF(ISNUMBER(SEARCH("CDS",E256)),"CDS",IF(ISNUMBER(SEARCH("TOGAF",E256)),"TOGAF",IF(ISNUMBER(SEARCH("DPI",E256)),"DPI",IF(ISNUMBER(SEARCH("DITS",E256)),"DITS",IF(ISNUMBER(SEARCH("AGILE",E256)),"AGILE",IF(ISNUMBER(SEARCH("Ciberseguridad",E256)),"Ciberseguridad","Otros"))))))))))))))</f>
        <v/>
      </c>
      <c r="Q256" s="44" t="str">
        <f aca="false">IF(B256="","",IF(ISNUMBER(K256),IF(K256&lt;=3,"1-3 meses",IF(K256&lt;=6,"4-6 meses","+6 meses")),"Sin dato registrado"))</f>
        <v/>
      </c>
      <c r="R256" s="44" t="str">
        <f aca="false">IF(OR(B256="",M256=""),"",RANK(M256,$M$3:$M$306)+COUNTIF($M$3:M256,M256)-1)</f>
        <v/>
      </c>
    </row>
    <row r="257" customFormat="false" ht="15" hidden="false" customHeight="true" outlineLevel="0" collapsed="false">
      <c r="M257" s="44" t="str">
        <f aca="false">IF(B257="","",IF(ISNUMBER(I257),I257,IFERROR(VALUE(SUBSTITUTE(SUBSTITUTE(I257,"$",""),".","")),0)))</f>
        <v/>
      </c>
      <c r="N257" s="44" t="str">
        <f aca="false">IF(B257="","",PROPER(TRIM(D257)))</f>
        <v/>
      </c>
      <c r="O257" s="44" t="str">
        <f aca="false">IF(B257="","",IF(OR(ISNUMBER(SEARCH("AL DIA",L257)),ISNUMBER(SEARCH("AL DIA",F257))),"Al día",IF(OR(ISNUMBER(SEARCH("QUIETO",L257)),ISNUMBER(SEARCH("QUIETO",F257)),ISNUMBER(SEARCH("ESPERANDO",L257)),ISNUMBER(SEARCH("ESPERANDO",F257))),"Sin respuesta / Inactivo",IF(OR(ISNUMBER(SEARCH("PENDIENTE",L257)),ISNUMBER(SEARCH("PENDIENTE",F257)),ISNUMBER(SEARCH("COMPROMISO",F257)),ISNUMBER(SEARCH("COMPROMISO",L257)),ISNUMBER(SEARCH("PROCESO",F257)),ISNUMBER(SEARCH("LLAMAR",F257)),ISNUMBER(SEARCH("ABONO",J257)),EXACT(L257,"P"),EXACT(F257,"P")),"Pendiente / Compromiso","Sin gestionar"))))</f>
        <v/>
      </c>
      <c r="P257" s="44" t="str">
        <f aca="false">IF(B257="","",IF(E257="","Sin definir",IF(ISNUMBER(SEARCH("ITIL",E257)),"ITIL",IF(ISNUMBER(SEARCH("ISO 27001",E257)),"ISO 27001",IF(ISNUMBER(SEARCH("ISO 42001",E257)),"ISO 42001",IF(ISNUMBER(SEARCH("ISO",E257)),"Otras ISO",IF(ISNUMBER(SEARCH("SCRUM",E257)),"SCRUM",IF(ISNUMBER(SEARCH("BRIDGE",E257)),"BRIDGE",IF(ISNUMBER(SEARCH("CDS",E257)),"CDS",IF(ISNUMBER(SEARCH("TOGAF",E257)),"TOGAF",IF(ISNUMBER(SEARCH("DPI",E257)),"DPI",IF(ISNUMBER(SEARCH("DITS",E257)),"DITS",IF(ISNUMBER(SEARCH("AGILE",E257)),"AGILE",IF(ISNUMBER(SEARCH("Ciberseguridad",E257)),"Ciberseguridad","Otros"))))))))))))))</f>
        <v/>
      </c>
      <c r="Q257" s="44" t="str">
        <f aca="false">IF(B257="","",IF(ISNUMBER(K257),IF(K257&lt;=3,"1-3 meses",IF(K257&lt;=6,"4-6 meses","+6 meses")),"Sin dato registrado"))</f>
        <v/>
      </c>
      <c r="R257" s="44" t="str">
        <f aca="false">IF(OR(B257="",M257=""),"",RANK(M257,$M$3:$M$306)+COUNTIF($M$3:M257,M257)-1)</f>
        <v/>
      </c>
    </row>
    <row r="258" customFormat="false" ht="15" hidden="false" customHeight="true" outlineLevel="0" collapsed="false">
      <c r="M258" s="44" t="str">
        <f aca="false">IF(B258="","",IF(ISNUMBER(I258),I258,IFERROR(VALUE(SUBSTITUTE(SUBSTITUTE(I258,"$",""),".","")),0)))</f>
        <v/>
      </c>
      <c r="N258" s="44" t="str">
        <f aca="false">IF(B258="","",PROPER(TRIM(D258)))</f>
        <v/>
      </c>
      <c r="O258" s="44" t="str">
        <f aca="false">IF(B258="","",IF(OR(ISNUMBER(SEARCH("AL DIA",L258)),ISNUMBER(SEARCH("AL DIA",F258))),"Al día",IF(OR(ISNUMBER(SEARCH("QUIETO",L258)),ISNUMBER(SEARCH("QUIETO",F258)),ISNUMBER(SEARCH("ESPERANDO",L258)),ISNUMBER(SEARCH("ESPERANDO",F258))),"Sin respuesta / Inactivo",IF(OR(ISNUMBER(SEARCH("PENDIENTE",L258)),ISNUMBER(SEARCH("PENDIENTE",F258)),ISNUMBER(SEARCH("COMPROMISO",F258)),ISNUMBER(SEARCH("COMPROMISO",L258)),ISNUMBER(SEARCH("PROCESO",F258)),ISNUMBER(SEARCH("LLAMAR",F258)),ISNUMBER(SEARCH("ABONO",J258)),EXACT(L258,"P"),EXACT(F258,"P")),"Pendiente / Compromiso","Sin gestionar"))))</f>
        <v/>
      </c>
      <c r="P258" s="44" t="str">
        <f aca="false">IF(B258="","",IF(E258="","Sin definir",IF(ISNUMBER(SEARCH("ITIL",E258)),"ITIL",IF(ISNUMBER(SEARCH("ISO 27001",E258)),"ISO 27001",IF(ISNUMBER(SEARCH("ISO 42001",E258)),"ISO 42001",IF(ISNUMBER(SEARCH("ISO",E258)),"Otras ISO",IF(ISNUMBER(SEARCH("SCRUM",E258)),"SCRUM",IF(ISNUMBER(SEARCH("BRIDGE",E258)),"BRIDGE",IF(ISNUMBER(SEARCH("CDS",E258)),"CDS",IF(ISNUMBER(SEARCH("TOGAF",E258)),"TOGAF",IF(ISNUMBER(SEARCH("DPI",E258)),"DPI",IF(ISNUMBER(SEARCH("DITS",E258)),"DITS",IF(ISNUMBER(SEARCH("AGILE",E258)),"AGILE",IF(ISNUMBER(SEARCH("Ciberseguridad",E258)),"Ciberseguridad","Otros"))))))))))))))</f>
        <v/>
      </c>
      <c r="Q258" s="44" t="str">
        <f aca="false">IF(B258="","",IF(ISNUMBER(K258),IF(K258&lt;=3,"1-3 meses",IF(K258&lt;=6,"4-6 meses","+6 meses")),"Sin dato registrado"))</f>
        <v/>
      </c>
      <c r="R258" s="44" t="str">
        <f aca="false">IF(OR(B258="",M258=""),"",RANK(M258,$M$3:$M$306)+COUNTIF($M$3:M258,M258)-1)</f>
        <v/>
      </c>
    </row>
    <row r="259" customFormat="false" ht="15" hidden="false" customHeight="true" outlineLevel="0" collapsed="false">
      <c r="M259" s="44" t="str">
        <f aca="false">IF(B259="","",IF(ISNUMBER(I259),I259,IFERROR(VALUE(SUBSTITUTE(SUBSTITUTE(I259,"$",""),".","")),0)))</f>
        <v/>
      </c>
      <c r="N259" s="44" t="str">
        <f aca="false">IF(B259="","",PROPER(TRIM(D259)))</f>
        <v/>
      </c>
      <c r="O259" s="44" t="str">
        <f aca="false">IF(B259="","",IF(OR(ISNUMBER(SEARCH("AL DIA",L259)),ISNUMBER(SEARCH("AL DIA",F259))),"Al día",IF(OR(ISNUMBER(SEARCH("QUIETO",L259)),ISNUMBER(SEARCH("QUIETO",F259)),ISNUMBER(SEARCH("ESPERANDO",L259)),ISNUMBER(SEARCH("ESPERANDO",F259))),"Sin respuesta / Inactivo",IF(OR(ISNUMBER(SEARCH("PENDIENTE",L259)),ISNUMBER(SEARCH("PENDIENTE",F259)),ISNUMBER(SEARCH("COMPROMISO",F259)),ISNUMBER(SEARCH("COMPROMISO",L259)),ISNUMBER(SEARCH("PROCESO",F259)),ISNUMBER(SEARCH("LLAMAR",F259)),ISNUMBER(SEARCH("ABONO",J259)),EXACT(L259,"P"),EXACT(F259,"P")),"Pendiente / Compromiso","Sin gestionar"))))</f>
        <v/>
      </c>
      <c r="P259" s="44" t="str">
        <f aca="false">IF(B259="","",IF(E259="","Sin definir",IF(ISNUMBER(SEARCH("ITIL",E259)),"ITIL",IF(ISNUMBER(SEARCH("ISO 27001",E259)),"ISO 27001",IF(ISNUMBER(SEARCH("ISO 42001",E259)),"ISO 42001",IF(ISNUMBER(SEARCH("ISO",E259)),"Otras ISO",IF(ISNUMBER(SEARCH("SCRUM",E259)),"SCRUM",IF(ISNUMBER(SEARCH("BRIDGE",E259)),"BRIDGE",IF(ISNUMBER(SEARCH("CDS",E259)),"CDS",IF(ISNUMBER(SEARCH("TOGAF",E259)),"TOGAF",IF(ISNUMBER(SEARCH("DPI",E259)),"DPI",IF(ISNUMBER(SEARCH("DITS",E259)),"DITS",IF(ISNUMBER(SEARCH("AGILE",E259)),"AGILE",IF(ISNUMBER(SEARCH("Ciberseguridad",E259)),"Ciberseguridad","Otros"))))))))))))))</f>
        <v/>
      </c>
      <c r="Q259" s="44" t="str">
        <f aca="false">IF(B259="","",IF(ISNUMBER(K259),IF(K259&lt;=3,"1-3 meses",IF(K259&lt;=6,"4-6 meses","+6 meses")),"Sin dato registrado"))</f>
        <v/>
      </c>
      <c r="R259" s="44" t="str">
        <f aca="false">IF(OR(B259="",M259=""),"",RANK(M259,$M$3:$M$306)+COUNTIF($M$3:M259,M259)-1)</f>
        <v/>
      </c>
    </row>
    <row r="260" customFormat="false" ht="15" hidden="false" customHeight="true" outlineLevel="0" collapsed="false">
      <c r="M260" s="44" t="str">
        <f aca="false">IF(B260="","",IF(ISNUMBER(I260),I260,IFERROR(VALUE(SUBSTITUTE(SUBSTITUTE(I260,"$",""),".","")),0)))</f>
        <v/>
      </c>
      <c r="N260" s="44" t="str">
        <f aca="false">IF(B260="","",PROPER(TRIM(D260)))</f>
        <v/>
      </c>
      <c r="O260" s="44" t="str">
        <f aca="false">IF(B260="","",IF(OR(ISNUMBER(SEARCH("AL DIA",L260)),ISNUMBER(SEARCH("AL DIA",F260))),"Al día",IF(OR(ISNUMBER(SEARCH("QUIETO",L260)),ISNUMBER(SEARCH("QUIETO",F260)),ISNUMBER(SEARCH("ESPERANDO",L260)),ISNUMBER(SEARCH("ESPERANDO",F260))),"Sin respuesta / Inactivo",IF(OR(ISNUMBER(SEARCH("PENDIENTE",L260)),ISNUMBER(SEARCH("PENDIENTE",F260)),ISNUMBER(SEARCH("COMPROMISO",F260)),ISNUMBER(SEARCH("COMPROMISO",L260)),ISNUMBER(SEARCH("PROCESO",F260)),ISNUMBER(SEARCH("LLAMAR",F260)),ISNUMBER(SEARCH("ABONO",J260)),EXACT(L260,"P"),EXACT(F260,"P")),"Pendiente / Compromiso","Sin gestionar"))))</f>
        <v/>
      </c>
      <c r="P260" s="44" t="str">
        <f aca="false">IF(B260="","",IF(E260="","Sin definir",IF(ISNUMBER(SEARCH("ITIL",E260)),"ITIL",IF(ISNUMBER(SEARCH("ISO 27001",E260)),"ISO 27001",IF(ISNUMBER(SEARCH("ISO 42001",E260)),"ISO 42001",IF(ISNUMBER(SEARCH("ISO",E260)),"Otras ISO",IF(ISNUMBER(SEARCH("SCRUM",E260)),"SCRUM",IF(ISNUMBER(SEARCH("BRIDGE",E260)),"BRIDGE",IF(ISNUMBER(SEARCH("CDS",E260)),"CDS",IF(ISNUMBER(SEARCH("TOGAF",E260)),"TOGAF",IF(ISNUMBER(SEARCH("DPI",E260)),"DPI",IF(ISNUMBER(SEARCH("DITS",E260)),"DITS",IF(ISNUMBER(SEARCH("AGILE",E260)),"AGILE",IF(ISNUMBER(SEARCH("Ciberseguridad",E260)),"Ciberseguridad","Otros"))))))))))))))</f>
        <v/>
      </c>
      <c r="Q260" s="44" t="str">
        <f aca="false">IF(B260="","",IF(ISNUMBER(K260),IF(K260&lt;=3,"1-3 meses",IF(K260&lt;=6,"4-6 meses","+6 meses")),"Sin dato registrado"))</f>
        <v/>
      </c>
      <c r="R260" s="44" t="str">
        <f aca="false">IF(OR(B260="",M260=""),"",RANK(M260,$M$3:$M$306)+COUNTIF($M$3:M260,M260)-1)</f>
        <v/>
      </c>
    </row>
    <row r="261" customFormat="false" ht="15" hidden="false" customHeight="true" outlineLevel="0" collapsed="false">
      <c r="M261" s="44" t="str">
        <f aca="false">IF(B261="","",IF(ISNUMBER(I261),I261,IFERROR(VALUE(SUBSTITUTE(SUBSTITUTE(I261,"$",""),".","")),0)))</f>
        <v/>
      </c>
      <c r="N261" s="44" t="str">
        <f aca="false">IF(B261="","",PROPER(TRIM(D261)))</f>
        <v/>
      </c>
      <c r="O261" s="44" t="str">
        <f aca="false">IF(B261="","",IF(OR(ISNUMBER(SEARCH("AL DIA",L261)),ISNUMBER(SEARCH("AL DIA",F261))),"Al día",IF(OR(ISNUMBER(SEARCH("QUIETO",L261)),ISNUMBER(SEARCH("QUIETO",F261)),ISNUMBER(SEARCH("ESPERANDO",L261)),ISNUMBER(SEARCH("ESPERANDO",F261))),"Sin respuesta / Inactivo",IF(OR(ISNUMBER(SEARCH("PENDIENTE",L261)),ISNUMBER(SEARCH("PENDIENTE",F261)),ISNUMBER(SEARCH("COMPROMISO",F261)),ISNUMBER(SEARCH("COMPROMISO",L261)),ISNUMBER(SEARCH("PROCESO",F261)),ISNUMBER(SEARCH("LLAMAR",F261)),ISNUMBER(SEARCH("ABONO",J261)),EXACT(L261,"P"),EXACT(F261,"P")),"Pendiente / Compromiso","Sin gestionar"))))</f>
        <v/>
      </c>
      <c r="P261" s="44" t="str">
        <f aca="false">IF(B261="","",IF(E261="","Sin definir",IF(ISNUMBER(SEARCH("ITIL",E261)),"ITIL",IF(ISNUMBER(SEARCH("ISO 27001",E261)),"ISO 27001",IF(ISNUMBER(SEARCH("ISO 42001",E261)),"ISO 42001",IF(ISNUMBER(SEARCH("ISO",E261)),"Otras ISO",IF(ISNUMBER(SEARCH("SCRUM",E261)),"SCRUM",IF(ISNUMBER(SEARCH("BRIDGE",E261)),"BRIDGE",IF(ISNUMBER(SEARCH("CDS",E261)),"CDS",IF(ISNUMBER(SEARCH("TOGAF",E261)),"TOGAF",IF(ISNUMBER(SEARCH("DPI",E261)),"DPI",IF(ISNUMBER(SEARCH("DITS",E261)),"DITS",IF(ISNUMBER(SEARCH("AGILE",E261)),"AGILE",IF(ISNUMBER(SEARCH("Ciberseguridad",E261)),"Ciberseguridad","Otros"))))))))))))))</f>
        <v/>
      </c>
      <c r="Q261" s="44" t="str">
        <f aca="false">IF(B261="","",IF(ISNUMBER(K261),IF(K261&lt;=3,"1-3 meses",IF(K261&lt;=6,"4-6 meses","+6 meses")),"Sin dato registrado"))</f>
        <v/>
      </c>
      <c r="R261" s="44" t="str">
        <f aca="false">IF(OR(B261="",M261=""),"",RANK(M261,$M$3:$M$306)+COUNTIF($M$3:M261,M261)-1)</f>
        <v/>
      </c>
    </row>
    <row r="262" customFormat="false" ht="15" hidden="false" customHeight="true" outlineLevel="0" collapsed="false">
      <c r="M262" s="44" t="str">
        <f aca="false">IF(B262="","",IF(ISNUMBER(I262),I262,IFERROR(VALUE(SUBSTITUTE(SUBSTITUTE(I262,"$",""),".","")),0)))</f>
        <v/>
      </c>
      <c r="N262" s="44" t="str">
        <f aca="false">IF(B262="","",PROPER(TRIM(D262)))</f>
        <v/>
      </c>
      <c r="O262" s="44" t="str">
        <f aca="false">IF(B262="","",IF(OR(ISNUMBER(SEARCH("AL DIA",L262)),ISNUMBER(SEARCH("AL DIA",F262))),"Al día",IF(OR(ISNUMBER(SEARCH("QUIETO",L262)),ISNUMBER(SEARCH("QUIETO",F262)),ISNUMBER(SEARCH("ESPERANDO",L262)),ISNUMBER(SEARCH("ESPERANDO",F262))),"Sin respuesta / Inactivo",IF(OR(ISNUMBER(SEARCH("PENDIENTE",L262)),ISNUMBER(SEARCH("PENDIENTE",F262)),ISNUMBER(SEARCH("COMPROMISO",F262)),ISNUMBER(SEARCH("COMPROMISO",L262)),ISNUMBER(SEARCH("PROCESO",F262)),ISNUMBER(SEARCH("LLAMAR",F262)),ISNUMBER(SEARCH("ABONO",J262)),EXACT(L262,"P"),EXACT(F262,"P")),"Pendiente / Compromiso","Sin gestionar"))))</f>
        <v/>
      </c>
      <c r="P262" s="44" t="str">
        <f aca="false">IF(B262="","",IF(E262="","Sin definir",IF(ISNUMBER(SEARCH("ITIL",E262)),"ITIL",IF(ISNUMBER(SEARCH("ISO 27001",E262)),"ISO 27001",IF(ISNUMBER(SEARCH("ISO 42001",E262)),"ISO 42001",IF(ISNUMBER(SEARCH("ISO",E262)),"Otras ISO",IF(ISNUMBER(SEARCH("SCRUM",E262)),"SCRUM",IF(ISNUMBER(SEARCH("BRIDGE",E262)),"BRIDGE",IF(ISNUMBER(SEARCH("CDS",E262)),"CDS",IF(ISNUMBER(SEARCH("TOGAF",E262)),"TOGAF",IF(ISNUMBER(SEARCH("DPI",E262)),"DPI",IF(ISNUMBER(SEARCH("DITS",E262)),"DITS",IF(ISNUMBER(SEARCH("AGILE",E262)),"AGILE",IF(ISNUMBER(SEARCH("Ciberseguridad",E262)),"Ciberseguridad","Otros"))))))))))))))</f>
        <v/>
      </c>
      <c r="Q262" s="44" t="str">
        <f aca="false">IF(B262="","",IF(ISNUMBER(K262),IF(K262&lt;=3,"1-3 meses",IF(K262&lt;=6,"4-6 meses","+6 meses")),"Sin dato registrado"))</f>
        <v/>
      </c>
      <c r="R262" s="44" t="str">
        <f aca="false">IF(OR(B262="",M262=""),"",RANK(M262,$M$3:$M$306)+COUNTIF($M$3:M262,M262)-1)</f>
        <v/>
      </c>
    </row>
    <row r="263" customFormat="false" ht="15" hidden="false" customHeight="true" outlineLevel="0" collapsed="false">
      <c r="M263" s="44" t="str">
        <f aca="false">IF(B263="","",IF(ISNUMBER(I263),I263,IFERROR(VALUE(SUBSTITUTE(SUBSTITUTE(I263,"$",""),".","")),0)))</f>
        <v/>
      </c>
      <c r="N263" s="44" t="str">
        <f aca="false">IF(B263="","",PROPER(TRIM(D263)))</f>
        <v/>
      </c>
      <c r="O263" s="44" t="str">
        <f aca="false">IF(B263="","",IF(OR(ISNUMBER(SEARCH("AL DIA",L263)),ISNUMBER(SEARCH("AL DIA",F263))),"Al día",IF(OR(ISNUMBER(SEARCH("QUIETO",L263)),ISNUMBER(SEARCH("QUIETO",F263)),ISNUMBER(SEARCH("ESPERANDO",L263)),ISNUMBER(SEARCH("ESPERANDO",F263))),"Sin respuesta / Inactivo",IF(OR(ISNUMBER(SEARCH("PENDIENTE",L263)),ISNUMBER(SEARCH("PENDIENTE",F263)),ISNUMBER(SEARCH("COMPROMISO",F263)),ISNUMBER(SEARCH("COMPROMISO",L263)),ISNUMBER(SEARCH("PROCESO",F263)),ISNUMBER(SEARCH("LLAMAR",F263)),ISNUMBER(SEARCH("ABONO",J263)),EXACT(L263,"P"),EXACT(F263,"P")),"Pendiente / Compromiso","Sin gestionar"))))</f>
        <v/>
      </c>
      <c r="P263" s="44" t="str">
        <f aca="false">IF(B263="","",IF(E263="","Sin definir",IF(ISNUMBER(SEARCH("ITIL",E263)),"ITIL",IF(ISNUMBER(SEARCH("ISO 27001",E263)),"ISO 27001",IF(ISNUMBER(SEARCH("ISO 42001",E263)),"ISO 42001",IF(ISNUMBER(SEARCH("ISO",E263)),"Otras ISO",IF(ISNUMBER(SEARCH("SCRUM",E263)),"SCRUM",IF(ISNUMBER(SEARCH("BRIDGE",E263)),"BRIDGE",IF(ISNUMBER(SEARCH("CDS",E263)),"CDS",IF(ISNUMBER(SEARCH("TOGAF",E263)),"TOGAF",IF(ISNUMBER(SEARCH("DPI",E263)),"DPI",IF(ISNUMBER(SEARCH("DITS",E263)),"DITS",IF(ISNUMBER(SEARCH("AGILE",E263)),"AGILE",IF(ISNUMBER(SEARCH("Ciberseguridad",E263)),"Ciberseguridad","Otros"))))))))))))))</f>
        <v/>
      </c>
      <c r="Q263" s="44" t="str">
        <f aca="false">IF(B263="","",IF(ISNUMBER(K263),IF(K263&lt;=3,"1-3 meses",IF(K263&lt;=6,"4-6 meses","+6 meses")),"Sin dato registrado"))</f>
        <v/>
      </c>
      <c r="R263" s="44" t="str">
        <f aca="false">IF(OR(B263="",M263=""),"",RANK(M263,$M$3:$M$306)+COUNTIF($M$3:M263,M263)-1)</f>
        <v/>
      </c>
    </row>
    <row r="264" customFormat="false" ht="15" hidden="false" customHeight="true" outlineLevel="0" collapsed="false">
      <c r="M264" s="44" t="str">
        <f aca="false">IF(B264="","",IF(ISNUMBER(I264),I264,IFERROR(VALUE(SUBSTITUTE(SUBSTITUTE(I264,"$",""),".","")),0)))</f>
        <v/>
      </c>
      <c r="N264" s="44" t="str">
        <f aca="false">IF(B264="","",PROPER(TRIM(D264)))</f>
        <v/>
      </c>
      <c r="O264" s="44" t="str">
        <f aca="false">IF(B264="","",IF(OR(ISNUMBER(SEARCH("AL DIA",L264)),ISNUMBER(SEARCH("AL DIA",F264))),"Al día",IF(OR(ISNUMBER(SEARCH("QUIETO",L264)),ISNUMBER(SEARCH("QUIETO",F264)),ISNUMBER(SEARCH("ESPERANDO",L264)),ISNUMBER(SEARCH("ESPERANDO",F264))),"Sin respuesta / Inactivo",IF(OR(ISNUMBER(SEARCH("PENDIENTE",L264)),ISNUMBER(SEARCH("PENDIENTE",F264)),ISNUMBER(SEARCH("COMPROMISO",F264)),ISNUMBER(SEARCH("COMPROMISO",L264)),ISNUMBER(SEARCH("PROCESO",F264)),ISNUMBER(SEARCH("LLAMAR",F264)),ISNUMBER(SEARCH("ABONO",J264)),EXACT(L264,"P"),EXACT(F264,"P")),"Pendiente / Compromiso","Sin gestionar"))))</f>
        <v/>
      </c>
      <c r="P264" s="44" t="str">
        <f aca="false">IF(B264="","",IF(E264="","Sin definir",IF(ISNUMBER(SEARCH("ITIL",E264)),"ITIL",IF(ISNUMBER(SEARCH("ISO 27001",E264)),"ISO 27001",IF(ISNUMBER(SEARCH("ISO 42001",E264)),"ISO 42001",IF(ISNUMBER(SEARCH("ISO",E264)),"Otras ISO",IF(ISNUMBER(SEARCH("SCRUM",E264)),"SCRUM",IF(ISNUMBER(SEARCH("BRIDGE",E264)),"BRIDGE",IF(ISNUMBER(SEARCH("CDS",E264)),"CDS",IF(ISNUMBER(SEARCH("TOGAF",E264)),"TOGAF",IF(ISNUMBER(SEARCH("DPI",E264)),"DPI",IF(ISNUMBER(SEARCH("DITS",E264)),"DITS",IF(ISNUMBER(SEARCH("AGILE",E264)),"AGILE",IF(ISNUMBER(SEARCH("Ciberseguridad",E264)),"Ciberseguridad","Otros"))))))))))))))</f>
        <v/>
      </c>
      <c r="Q264" s="44" t="str">
        <f aca="false">IF(B264="","",IF(ISNUMBER(K264),IF(K264&lt;=3,"1-3 meses",IF(K264&lt;=6,"4-6 meses","+6 meses")),"Sin dato registrado"))</f>
        <v/>
      </c>
      <c r="R264" s="44" t="str">
        <f aca="false">IF(OR(B264="",M264=""),"",RANK(M264,$M$3:$M$306)+COUNTIF($M$3:M264,M264)-1)</f>
        <v/>
      </c>
    </row>
    <row r="265" customFormat="false" ht="15" hidden="false" customHeight="true" outlineLevel="0" collapsed="false">
      <c r="M265" s="44" t="str">
        <f aca="false">IF(B265="","",IF(ISNUMBER(I265),I265,IFERROR(VALUE(SUBSTITUTE(SUBSTITUTE(I265,"$",""),".","")),0)))</f>
        <v/>
      </c>
      <c r="N265" s="44" t="str">
        <f aca="false">IF(B265="","",PROPER(TRIM(D265)))</f>
        <v/>
      </c>
      <c r="O265" s="44" t="str">
        <f aca="false">IF(B265="","",IF(OR(ISNUMBER(SEARCH("AL DIA",L265)),ISNUMBER(SEARCH("AL DIA",F265))),"Al día",IF(OR(ISNUMBER(SEARCH("QUIETO",L265)),ISNUMBER(SEARCH("QUIETO",F265)),ISNUMBER(SEARCH("ESPERANDO",L265)),ISNUMBER(SEARCH("ESPERANDO",F265))),"Sin respuesta / Inactivo",IF(OR(ISNUMBER(SEARCH("PENDIENTE",L265)),ISNUMBER(SEARCH("PENDIENTE",F265)),ISNUMBER(SEARCH("COMPROMISO",F265)),ISNUMBER(SEARCH("COMPROMISO",L265)),ISNUMBER(SEARCH("PROCESO",F265)),ISNUMBER(SEARCH("LLAMAR",F265)),ISNUMBER(SEARCH("ABONO",J265)),EXACT(L265,"P"),EXACT(F265,"P")),"Pendiente / Compromiso","Sin gestionar"))))</f>
        <v/>
      </c>
      <c r="P265" s="44" t="str">
        <f aca="false">IF(B265="","",IF(E265="","Sin definir",IF(ISNUMBER(SEARCH("ITIL",E265)),"ITIL",IF(ISNUMBER(SEARCH("ISO 27001",E265)),"ISO 27001",IF(ISNUMBER(SEARCH("ISO 42001",E265)),"ISO 42001",IF(ISNUMBER(SEARCH("ISO",E265)),"Otras ISO",IF(ISNUMBER(SEARCH("SCRUM",E265)),"SCRUM",IF(ISNUMBER(SEARCH("BRIDGE",E265)),"BRIDGE",IF(ISNUMBER(SEARCH("CDS",E265)),"CDS",IF(ISNUMBER(SEARCH("TOGAF",E265)),"TOGAF",IF(ISNUMBER(SEARCH("DPI",E265)),"DPI",IF(ISNUMBER(SEARCH("DITS",E265)),"DITS",IF(ISNUMBER(SEARCH("AGILE",E265)),"AGILE",IF(ISNUMBER(SEARCH("Ciberseguridad",E265)),"Ciberseguridad","Otros"))))))))))))))</f>
        <v/>
      </c>
      <c r="Q265" s="44" t="str">
        <f aca="false">IF(B265="","",IF(ISNUMBER(K265),IF(K265&lt;=3,"1-3 meses",IF(K265&lt;=6,"4-6 meses","+6 meses")),"Sin dato registrado"))</f>
        <v/>
      </c>
      <c r="R265" s="44" t="str">
        <f aca="false">IF(OR(B265="",M265=""),"",RANK(M265,$M$3:$M$306)+COUNTIF($M$3:M265,M265)-1)</f>
        <v/>
      </c>
    </row>
    <row r="266" customFormat="false" ht="15" hidden="false" customHeight="true" outlineLevel="0" collapsed="false">
      <c r="M266" s="44" t="str">
        <f aca="false">IF(B266="","",IF(ISNUMBER(I266),I266,IFERROR(VALUE(SUBSTITUTE(SUBSTITUTE(I266,"$",""),".","")),0)))</f>
        <v/>
      </c>
      <c r="N266" s="44" t="str">
        <f aca="false">IF(B266="","",PROPER(TRIM(D266)))</f>
        <v/>
      </c>
      <c r="O266" s="44" t="str">
        <f aca="false">IF(B266="","",IF(OR(ISNUMBER(SEARCH("AL DIA",L266)),ISNUMBER(SEARCH("AL DIA",F266))),"Al día",IF(OR(ISNUMBER(SEARCH("QUIETO",L266)),ISNUMBER(SEARCH("QUIETO",F266)),ISNUMBER(SEARCH("ESPERANDO",L266)),ISNUMBER(SEARCH("ESPERANDO",F266))),"Sin respuesta / Inactivo",IF(OR(ISNUMBER(SEARCH("PENDIENTE",L266)),ISNUMBER(SEARCH("PENDIENTE",F266)),ISNUMBER(SEARCH("COMPROMISO",F266)),ISNUMBER(SEARCH("COMPROMISO",L266)),ISNUMBER(SEARCH("PROCESO",F266)),ISNUMBER(SEARCH("LLAMAR",F266)),ISNUMBER(SEARCH("ABONO",J266)),EXACT(L266,"P"),EXACT(F266,"P")),"Pendiente / Compromiso","Sin gestionar"))))</f>
        <v/>
      </c>
      <c r="P266" s="44" t="str">
        <f aca="false">IF(B266="","",IF(E266="","Sin definir",IF(ISNUMBER(SEARCH("ITIL",E266)),"ITIL",IF(ISNUMBER(SEARCH("ISO 27001",E266)),"ISO 27001",IF(ISNUMBER(SEARCH("ISO 42001",E266)),"ISO 42001",IF(ISNUMBER(SEARCH("ISO",E266)),"Otras ISO",IF(ISNUMBER(SEARCH("SCRUM",E266)),"SCRUM",IF(ISNUMBER(SEARCH("BRIDGE",E266)),"BRIDGE",IF(ISNUMBER(SEARCH("CDS",E266)),"CDS",IF(ISNUMBER(SEARCH("TOGAF",E266)),"TOGAF",IF(ISNUMBER(SEARCH("DPI",E266)),"DPI",IF(ISNUMBER(SEARCH("DITS",E266)),"DITS",IF(ISNUMBER(SEARCH("AGILE",E266)),"AGILE",IF(ISNUMBER(SEARCH("Ciberseguridad",E266)),"Ciberseguridad","Otros"))))))))))))))</f>
        <v/>
      </c>
      <c r="Q266" s="44" t="str">
        <f aca="false">IF(B266="","",IF(ISNUMBER(K266),IF(K266&lt;=3,"1-3 meses",IF(K266&lt;=6,"4-6 meses","+6 meses")),"Sin dato registrado"))</f>
        <v/>
      </c>
      <c r="R266" s="44" t="str">
        <f aca="false">IF(OR(B266="",M266=""),"",RANK(M266,$M$3:$M$306)+COUNTIF($M$3:M266,M266)-1)</f>
        <v/>
      </c>
    </row>
    <row r="267" customFormat="false" ht="15" hidden="false" customHeight="true" outlineLevel="0" collapsed="false">
      <c r="M267" s="44" t="str">
        <f aca="false">IF(B267="","",IF(ISNUMBER(I267),I267,IFERROR(VALUE(SUBSTITUTE(SUBSTITUTE(I267,"$",""),".","")),0)))</f>
        <v/>
      </c>
      <c r="N267" s="44" t="str">
        <f aca="false">IF(B267="","",PROPER(TRIM(D267)))</f>
        <v/>
      </c>
      <c r="O267" s="44" t="str">
        <f aca="false">IF(B267="","",IF(OR(ISNUMBER(SEARCH("AL DIA",L267)),ISNUMBER(SEARCH("AL DIA",F267))),"Al día",IF(OR(ISNUMBER(SEARCH("QUIETO",L267)),ISNUMBER(SEARCH("QUIETO",F267)),ISNUMBER(SEARCH("ESPERANDO",L267)),ISNUMBER(SEARCH("ESPERANDO",F267))),"Sin respuesta / Inactivo",IF(OR(ISNUMBER(SEARCH("PENDIENTE",L267)),ISNUMBER(SEARCH("PENDIENTE",F267)),ISNUMBER(SEARCH("COMPROMISO",F267)),ISNUMBER(SEARCH("COMPROMISO",L267)),ISNUMBER(SEARCH("PROCESO",F267)),ISNUMBER(SEARCH("LLAMAR",F267)),ISNUMBER(SEARCH("ABONO",J267)),EXACT(L267,"P"),EXACT(F267,"P")),"Pendiente / Compromiso","Sin gestionar"))))</f>
        <v/>
      </c>
      <c r="P267" s="44" t="str">
        <f aca="false">IF(B267="","",IF(E267="","Sin definir",IF(ISNUMBER(SEARCH("ITIL",E267)),"ITIL",IF(ISNUMBER(SEARCH("ISO 27001",E267)),"ISO 27001",IF(ISNUMBER(SEARCH("ISO 42001",E267)),"ISO 42001",IF(ISNUMBER(SEARCH("ISO",E267)),"Otras ISO",IF(ISNUMBER(SEARCH("SCRUM",E267)),"SCRUM",IF(ISNUMBER(SEARCH("BRIDGE",E267)),"BRIDGE",IF(ISNUMBER(SEARCH("CDS",E267)),"CDS",IF(ISNUMBER(SEARCH("TOGAF",E267)),"TOGAF",IF(ISNUMBER(SEARCH("DPI",E267)),"DPI",IF(ISNUMBER(SEARCH("DITS",E267)),"DITS",IF(ISNUMBER(SEARCH("AGILE",E267)),"AGILE",IF(ISNUMBER(SEARCH("Ciberseguridad",E267)),"Ciberseguridad","Otros"))))))))))))))</f>
        <v/>
      </c>
      <c r="Q267" s="44" t="str">
        <f aca="false">IF(B267="","",IF(ISNUMBER(K267),IF(K267&lt;=3,"1-3 meses",IF(K267&lt;=6,"4-6 meses","+6 meses")),"Sin dato registrado"))</f>
        <v/>
      </c>
      <c r="R267" s="44" t="str">
        <f aca="false">IF(OR(B267="",M267=""),"",RANK(M267,$M$3:$M$306)+COUNTIF($M$3:M267,M267)-1)</f>
        <v/>
      </c>
    </row>
    <row r="268" customFormat="false" ht="15" hidden="false" customHeight="true" outlineLevel="0" collapsed="false">
      <c r="M268" s="44" t="str">
        <f aca="false">IF(B268="","",IF(ISNUMBER(I268),I268,IFERROR(VALUE(SUBSTITUTE(SUBSTITUTE(I268,"$",""),".","")),0)))</f>
        <v/>
      </c>
      <c r="N268" s="44" t="str">
        <f aca="false">IF(B268="","",PROPER(TRIM(D268)))</f>
        <v/>
      </c>
      <c r="O268" s="44" t="str">
        <f aca="false">IF(B268="","",IF(OR(ISNUMBER(SEARCH("AL DIA",L268)),ISNUMBER(SEARCH("AL DIA",F268))),"Al día",IF(OR(ISNUMBER(SEARCH("QUIETO",L268)),ISNUMBER(SEARCH("QUIETO",F268)),ISNUMBER(SEARCH("ESPERANDO",L268)),ISNUMBER(SEARCH("ESPERANDO",F268))),"Sin respuesta / Inactivo",IF(OR(ISNUMBER(SEARCH("PENDIENTE",L268)),ISNUMBER(SEARCH("PENDIENTE",F268)),ISNUMBER(SEARCH("COMPROMISO",F268)),ISNUMBER(SEARCH("COMPROMISO",L268)),ISNUMBER(SEARCH("PROCESO",F268)),ISNUMBER(SEARCH("LLAMAR",F268)),ISNUMBER(SEARCH("ABONO",J268)),EXACT(L268,"P"),EXACT(F268,"P")),"Pendiente / Compromiso","Sin gestionar"))))</f>
        <v/>
      </c>
      <c r="P268" s="44" t="str">
        <f aca="false">IF(B268="","",IF(E268="","Sin definir",IF(ISNUMBER(SEARCH("ITIL",E268)),"ITIL",IF(ISNUMBER(SEARCH("ISO 27001",E268)),"ISO 27001",IF(ISNUMBER(SEARCH("ISO 42001",E268)),"ISO 42001",IF(ISNUMBER(SEARCH("ISO",E268)),"Otras ISO",IF(ISNUMBER(SEARCH("SCRUM",E268)),"SCRUM",IF(ISNUMBER(SEARCH("BRIDGE",E268)),"BRIDGE",IF(ISNUMBER(SEARCH("CDS",E268)),"CDS",IF(ISNUMBER(SEARCH("TOGAF",E268)),"TOGAF",IF(ISNUMBER(SEARCH("DPI",E268)),"DPI",IF(ISNUMBER(SEARCH("DITS",E268)),"DITS",IF(ISNUMBER(SEARCH("AGILE",E268)),"AGILE",IF(ISNUMBER(SEARCH("Ciberseguridad",E268)),"Ciberseguridad","Otros"))))))))))))))</f>
        <v/>
      </c>
      <c r="Q268" s="44" t="str">
        <f aca="false">IF(B268="","",IF(ISNUMBER(K268),IF(K268&lt;=3,"1-3 meses",IF(K268&lt;=6,"4-6 meses","+6 meses")),"Sin dato registrado"))</f>
        <v/>
      </c>
      <c r="R268" s="44" t="str">
        <f aca="false">IF(OR(B268="",M268=""),"",RANK(M268,$M$3:$M$306)+COUNTIF($M$3:M268,M268)-1)</f>
        <v/>
      </c>
    </row>
    <row r="269" customFormat="false" ht="15" hidden="false" customHeight="true" outlineLevel="0" collapsed="false">
      <c r="M269" s="44" t="str">
        <f aca="false">IF(B269="","",IF(ISNUMBER(I269),I269,IFERROR(VALUE(SUBSTITUTE(SUBSTITUTE(I269,"$",""),".","")),0)))</f>
        <v/>
      </c>
      <c r="N269" s="44" t="str">
        <f aca="false">IF(B269="","",PROPER(TRIM(D269)))</f>
        <v/>
      </c>
      <c r="O269" s="44" t="str">
        <f aca="false">IF(B269="","",IF(OR(ISNUMBER(SEARCH("AL DIA",L269)),ISNUMBER(SEARCH("AL DIA",F269))),"Al día",IF(OR(ISNUMBER(SEARCH("QUIETO",L269)),ISNUMBER(SEARCH("QUIETO",F269)),ISNUMBER(SEARCH("ESPERANDO",L269)),ISNUMBER(SEARCH("ESPERANDO",F269))),"Sin respuesta / Inactivo",IF(OR(ISNUMBER(SEARCH("PENDIENTE",L269)),ISNUMBER(SEARCH("PENDIENTE",F269)),ISNUMBER(SEARCH("COMPROMISO",F269)),ISNUMBER(SEARCH("COMPROMISO",L269)),ISNUMBER(SEARCH("PROCESO",F269)),ISNUMBER(SEARCH("LLAMAR",F269)),ISNUMBER(SEARCH("ABONO",J269)),EXACT(L269,"P"),EXACT(F269,"P")),"Pendiente / Compromiso","Sin gestionar"))))</f>
        <v/>
      </c>
      <c r="P269" s="44" t="str">
        <f aca="false">IF(B269="","",IF(E269="","Sin definir",IF(ISNUMBER(SEARCH("ITIL",E269)),"ITIL",IF(ISNUMBER(SEARCH("ISO 27001",E269)),"ISO 27001",IF(ISNUMBER(SEARCH("ISO 42001",E269)),"ISO 42001",IF(ISNUMBER(SEARCH("ISO",E269)),"Otras ISO",IF(ISNUMBER(SEARCH("SCRUM",E269)),"SCRUM",IF(ISNUMBER(SEARCH("BRIDGE",E269)),"BRIDGE",IF(ISNUMBER(SEARCH("CDS",E269)),"CDS",IF(ISNUMBER(SEARCH("TOGAF",E269)),"TOGAF",IF(ISNUMBER(SEARCH("DPI",E269)),"DPI",IF(ISNUMBER(SEARCH("DITS",E269)),"DITS",IF(ISNUMBER(SEARCH("AGILE",E269)),"AGILE",IF(ISNUMBER(SEARCH("Ciberseguridad",E269)),"Ciberseguridad","Otros"))))))))))))))</f>
        <v/>
      </c>
      <c r="Q269" s="44" t="str">
        <f aca="false">IF(B269="","",IF(ISNUMBER(K269),IF(K269&lt;=3,"1-3 meses",IF(K269&lt;=6,"4-6 meses","+6 meses")),"Sin dato registrado"))</f>
        <v/>
      </c>
      <c r="R269" s="44" t="str">
        <f aca="false">IF(OR(B269="",M269=""),"",RANK(M269,$M$3:$M$306)+COUNTIF($M$3:M269,M269)-1)</f>
        <v/>
      </c>
    </row>
    <row r="270" customFormat="false" ht="15" hidden="false" customHeight="true" outlineLevel="0" collapsed="false">
      <c r="M270" s="44" t="str">
        <f aca="false">IF(B270="","",IF(ISNUMBER(I270),I270,IFERROR(VALUE(SUBSTITUTE(SUBSTITUTE(I270,"$",""),".","")),0)))</f>
        <v/>
      </c>
      <c r="N270" s="44" t="str">
        <f aca="false">IF(B270="","",PROPER(TRIM(D270)))</f>
        <v/>
      </c>
      <c r="O270" s="44" t="str">
        <f aca="false">IF(B270="","",IF(OR(ISNUMBER(SEARCH("AL DIA",L270)),ISNUMBER(SEARCH("AL DIA",F270))),"Al día",IF(OR(ISNUMBER(SEARCH("QUIETO",L270)),ISNUMBER(SEARCH("QUIETO",F270)),ISNUMBER(SEARCH("ESPERANDO",L270)),ISNUMBER(SEARCH("ESPERANDO",F270))),"Sin respuesta / Inactivo",IF(OR(ISNUMBER(SEARCH("PENDIENTE",L270)),ISNUMBER(SEARCH("PENDIENTE",F270)),ISNUMBER(SEARCH("COMPROMISO",F270)),ISNUMBER(SEARCH("COMPROMISO",L270)),ISNUMBER(SEARCH("PROCESO",F270)),ISNUMBER(SEARCH("LLAMAR",F270)),ISNUMBER(SEARCH("ABONO",J270)),EXACT(L270,"P"),EXACT(F270,"P")),"Pendiente / Compromiso","Sin gestionar"))))</f>
        <v/>
      </c>
      <c r="P270" s="44" t="str">
        <f aca="false">IF(B270="","",IF(E270="","Sin definir",IF(ISNUMBER(SEARCH("ITIL",E270)),"ITIL",IF(ISNUMBER(SEARCH("ISO 27001",E270)),"ISO 27001",IF(ISNUMBER(SEARCH("ISO 42001",E270)),"ISO 42001",IF(ISNUMBER(SEARCH("ISO",E270)),"Otras ISO",IF(ISNUMBER(SEARCH("SCRUM",E270)),"SCRUM",IF(ISNUMBER(SEARCH("BRIDGE",E270)),"BRIDGE",IF(ISNUMBER(SEARCH("CDS",E270)),"CDS",IF(ISNUMBER(SEARCH("TOGAF",E270)),"TOGAF",IF(ISNUMBER(SEARCH("DPI",E270)),"DPI",IF(ISNUMBER(SEARCH("DITS",E270)),"DITS",IF(ISNUMBER(SEARCH("AGILE",E270)),"AGILE",IF(ISNUMBER(SEARCH("Ciberseguridad",E270)),"Ciberseguridad","Otros"))))))))))))))</f>
        <v/>
      </c>
      <c r="Q270" s="44" t="str">
        <f aca="false">IF(B270="","",IF(ISNUMBER(K270),IF(K270&lt;=3,"1-3 meses",IF(K270&lt;=6,"4-6 meses","+6 meses")),"Sin dato registrado"))</f>
        <v/>
      </c>
      <c r="R270" s="44" t="str">
        <f aca="false">IF(OR(B270="",M270=""),"",RANK(M270,$M$3:$M$306)+COUNTIF($M$3:M270,M270)-1)</f>
        <v/>
      </c>
    </row>
    <row r="271" customFormat="false" ht="15" hidden="false" customHeight="true" outlineLevel="0" collapsed="false">
      <c r="M271" s="44" t="str">
        <f aca="false">IF(B271="","",IF(ISNUMBER(I271),I271,IFERROR(VALUE(SUBSTITUTE(SUBSTITUTE(I271,"$",""),".","")),0)))</f>
        <v/>
      </c>
      <c r="N271" s="44" t="str">
        <f aca="false">IF(B271="","",PROPER(TRIM(D271)))</f>
        <v/>
      </c>
      <c r="O271" s="44" t="str">
        <f aca="false">IF(B271="","",IF(OR(ISNUMBER(SEARCH("AL DIA",L271)),ISNUMBER(SEARCH("AL DIA",F271))),"Al día",IF(OR(ISNUMBER(SEARCH("QUIETO",L271)),ISNUMBER(SEARCH("QUIETO",F271)),ISNUMBER(SEARCH("ESPERANDO",L271)),ISNUMBER(SEARCH("ESPERANDO",F271))),"Sin respuesta / Inactivo",IF(OR(ISNUMBER(SEARCH("PENDIENTE",L271)),ISNUMBER(SEARCH("PENDIENTE",F271)),ISNUMBER(SEARCH("COMPROMISO",F271)),ISNUMBER(SEARCH("COMPROMISO",L271)),ISNUMBER(SEARCH("PROCESO",F271)),ISNUMBER(SEARCH("LLAMAR",F271)),ISNUMBER(SEARCH("ABONO",J271)),EXACT(L271,"P"),EXACT(F271,"P")),"Pendiente / Compromiso","Sin gestionar"))))</f>
        <v/>
      </c>
      <c r="P271" s="44" t="str">
        <f aca="false">IF(B271="","",IF(E271="","Sin definir",IF(ISNUMBER(SEARCH("ITIL",E271)),"ITIL",IF(ISNUMBER(SEARCH("ISO 27001",E271)),"ISO 27001",IF(ISNUMBER(SEARCH("ISO 42001",E271)),"ISO 42001",IF(ISNUMBER(SEARCH("ISO",E271)),"Otras ISO",IF(ISNUMBER(SEARCH("SCRUM",E271)),"SCRUM",IF(ISNUMBER(SEARCH("BRIDGE",E271)),"BRIDGE",IF(ISNUMBER(SEARCH("CDS",E271)),"CDS",IF(ISNUMBER(SEARCH("TOGAF",E271)),"TOGAF",IF(ISNUMBER(SEARCH("DPI",E271)),"DPI",IF(ISNUMBER(SEARCH("DITS",E271)),"DITS",IF(ISNUMBER(SEARCH("AGILE",E271)),"AGILE",IF(ISNUMBER(SEARCH("Ciberseguridad",E271)),"Ciberseguridad","Otros"))))))))))))))</f>
        <v/>
      </c>
      <c r="Q271" s="44" t="str">
        <f aca="false">IF(B271="","",IF(ISNUMBER(K271),IF(K271&lt;=3,"1-3 meses",IF(K271&lt;=6,"4-6 meses","+6 meses")),"Sin dato registrado"))</f>
        <v/>
      </c>
      <c r="R271" s="44" t="str">
        <f aca="false">IF(OR(B271="",M271=""),"",RANK(M271,$M$3:$M$306)+COUNTIF($M$3:M271,M271)-1)</f>
        <v/>
      </c>
    </row>
    <row r="272" customFormat="false" ht="15" hidden="false" customHeight="true" outlineLevel="0" collapsed="false">
      <c r="M272" s="44" t="str">
        <f aca="false">IF(B272="","",IF(ISNUMBER(I272),I272,IFERROR(VALUE(SUBSTITUTE(SUBSTITUTE(I272,"$",""),".","")),0)))</f>
        <v/>
      </c>
      <c r="N272" s="44" t="str">
        <f aca="false">IF(B272="","",PROPER(TRIM(D272)))</f>
        <v/>
      </c>
      <c r="O272" s="44" t="str">
        <f aca="false">IF(B272="","",IF(OR(ISNUMBER(SEARCH("AL DIA",L272)),ISNUMBER(SEARCH("AL DIA",F272))),"Al día",IF(OR(ISNUMBER(SEARCH("QUIETO",L272)),ISNUMBER(SEARCH("QUIETO",F272)),ISNUMBER(SEARCH("ESPERANDO",L272)),ISNUMBER(SEARCH("ESPERANDO",F272))),"Sin respuesta / Inactivo",IF(OR(ISNUMBER(SEARCH("PENDIENTE",L272)),ISNUMBER(SEARCH("PENDIENTE",F272)),ISNUMBER(SEARCH("COMPROMISO",F272)),ISNUMBER(SEARCH("COMPROMISO",L272)),ISNUMBER(SEARCH("PROCESO",F272)),ISNUMBER(SEARCH("LLAMAR",F272)),ISNUMBER(SEARCH("ABONO",J272)),EXACT(L272,"P"),EXACT(F272,"P")),"Pendiente / Compromiso","Sin gestionar"))))</f>
        <v/>
      </c>
      <c r="P272" s="44" t="str">
        <f aca="false">IF(B272="","",IF(E272="","Sin definir",IF(ISNUMBER(SEARCH("ITIL",E272)),"ITIL",IF(ISNUMBER(SEARCH("ISO 27001",E272)),"ISO 27001",IF(ISNUMBER(SEARCH("ISO 42001",E272)),"ISO 42001",IF(ISNUMBER(SEARCH("ISO",E272)),"Otras ISO",IF(ISNUMBER(SEARCH("SCRUM",E272)),"SCRUM",IF(ISNUMBER(SEARCH("BRIDGE",E272)),"BRIDGE",IF(ISNUMBER(SEARCH("CDS",E272)),"CDS",IF(ISNUMBER(SEARCH("TOGAF",E272)),"TOGAF",IF(ISNUMBER(SEARCH("DPI",E272)),"DPI",IF(ISNUMBER(SEARCH("DITS",E272)),"DITS",IF(ISNUMBER(SEARCH("AGILE",E272)),"AGILE",IF(ISNUMBER(SEARCH("Ciberseguridad",E272)),"Ciberseguridad","Otros"))))))))))))))</f>
        <v/>
      </c>
      <c r="Q272" s="44" t="str">
        <f aca="false">IF(B272="","",IF(ISNUMBER(K272),IF(K272&lt;=3,"1-3 meses",IF(K272&lt;=6,"4-6 meses","+6 meses")),"Sin dato registrado"))</f>
        <v/>
      </c>
      <c r="R272" s="44" t="str">
        <f aca="false">IF(OR(B272="",M272=""),"",RANK(M272,$M$3:$M$306)+COUNTIF($M$3:M272,M272)-1)</f>
        <v/>
      </c>
    </row>
    <row r="273" customFormat="false" ht="15" hidden="false" customHeight="true" outlineLevel="0" collapsed="false">
      <c r="M273" s="44" t="str">
        <f aca="false">IF(B273="","",IF(ISNUMBER(I273),I273,IFERROR(VALUE(SUBSTITUTE(SUBSTITUTE(I273,"$",""),".","")),0)))</f>
        <v/>
      </c>
      <c r="N273" s="44" t="str">
        <f aca="false">IF(B273="","",PROPER(TRIM(D273)))</f>
        <v/>
      </c>
      <c r="O273" s="44" t="str">
        <f aca="false">IF(B273="","",IF(OR(ISNUMBER(SEARCH("AL DIA",L273)),ISNUMBER(SEARCH("AL DIA",F273))),"Al día",IF(OR(ISNUMBER(SEARCH("QUIETO",L273)),ISNUMBER(SEARCH("QUIETO",F273)),ISNUMBER(SEARCH("ESPERANDO",L273)),ISNUMBER(SEARCH("ESPERANDO",F273))),"Sin respuesta / Inactivo",IF(OR(ISNUMBER(SEARCH("PENDIENTE",L273)),ISNUMBER(SEARCH("PENDIENTE",F273)),ISNUMBER(SEARCH("COMPROMISO",F273)),ISNUMBER(SEARCH("COMPROMISO",L273)),ISNUMBER(SEARCH("PROCESO",F273)),ISNUMBER(SEARCH("LLAMAR",F273)),ISNUMBER(SEARCH("ABONO",J273)),EXACT(L273,"P"),EXACT(F273,"P")),"Pendiente / Compromiso","Sin gestionar"))))</f>
        <v/>
      </c>
      <c r="P273" s="44" t="str">
        <f aca="false">IF(B273="","",IF(E273="","Sin definir",IF(ISNUMBER(SEARCH("ITIL",E273)),"ITIL",IF(ISNUMBER(SEARCH("ISO 27001",E273)),"ISO 27001",IF(ISNUMBER(SEARCH("ISO 42001",E273)),"ISO 42001",IF(ISNUMBER(SEARCH("ISO",E273)),"Otras ISO",IF(ISNUMBER(SEARCH("SCRUM",E273)),"SCRUM",IF(ISNUMBER(SEARCH("BRIDGE",E273)),"BRIDGE",IF(ISNUMBER(SEARCH("CDS",E273)),"CDS",IF(ISNUMBER(SEARCH("TOGAF",E273)),"TOGAF",IF(ISNUMBER(SEARCH("DPI",E273)),"DPI",IF(ISNUMBER(SEARCH("DITS",E273)),"DITS",IF(ISNUMBER(SEARCH("AGILE",E273)),"AGILE",IF(ISNUMBER(SEARCH("Ciberseguridad",E273)),"Ciberseguridad","Otros"))))))))))))))</f>
        <v/>
      </c>
      <c r="Q273" s="44" t="str">
        <f aca="false">IF(B273="","",IF(ISNUMBER(K273),IF(K273&lt;=3,"1-3 meses",IF(K273&lt;=6,"4-6 meses","+6 meses")),"Sin dato registrado"))</f>
        <v/>
      </c>
      <c r="R273" s="44" t="str">
        <f aca="false">IF(OR(B273="",M273=""),"",RANK(M273,$M$3:$M$306)+COUNTIF($M$3:M273,M273)-1)</f>
        <v/>
      </c>
    </row>
    <row r="274" customFormat="false" ht="15" hidden="false" customHeight="true" outlineLevel="0" collapsed="false">
      <c r="M274" s="44" t="str">
        <f aca="false">IF(B274="","",IF(ISNUMBER(I274),I274,IFERROR(VALUE(SUBSTITUTE(SUBSTITUTE(I274,"$",""),".","")),0)))</f>
        <v/>
      </c>
      <c r="N274" s="44" t="str">
        <f aca="false">IF(B274="","",PROPER(TRIM(D274)))</f>
        <v/>
      </c>
      <c r="O274" s="44" t="str">
        <f aca="false">IF(B274="","",IF(OR(ISNUMBER(SEARCH("AL DIA",L274)),ISNUMBER(SEARCH("AL DIA",F274))),"Al día",IF(OR(ISNUMBER(SEARCH("QUIETO",L274)),ISNUMBER(SEARCH("QUIETO",F274)),ISNUMBER(SEARCH("ESPERANDO",L274)),ISNUMBER(SEARCH("ESPERANDO",F274))),"Sin respuesta / Inactivo",IF(OR(ISNUMBER(SEARCH("PENDIENTE",L274)),ISNUMBER(SEARCH("PENDIENTE",F274)),ISNUMBER(SEARCH("COMPROMISO",F274)),ISNUMBER(SEARCH("COMPROMISO",L274)),ISNUMBER(SEARCH("PROCESO",F274)),ISNUMBER(SEARCH("LLAMAR",F274)),ISNUMBER(SEARCH("ABONO",J274)),EXACT(L274,"P"),EXACT(F274,"P")),"Pendiente / Compromiso","Sin gestionar"))))</f>
        <v/>
      </c>
      <c r="P274" s="44" t="str">
        <f aca="false">IF(B274="","",IF(E274="","Sin definir",IF(ISNUMBER(SEARCH("ITIL",E274)),"ITIL",IF(ISNUMBER(SEARCH("ISO 27001",E274)),"ISO 27001",IF(ISNUMBER(SEARCH("ISO 42001",E274)),"ISO 42001",IF(ISNUMBER(SEARCH("ISO",E274)),"Otras ISO",IF(ISNUMBER(SEARCH("SCRUM",E274)),"SCRUM",IF(ISNUMBER(SEARCH("BRIDGE",E274)),"BRIDGE",IF(ISNUMBER(SEARCH("CDS",E274)),"CDS",IF(ISNUMBER(SEARCH("TOGAF",E274)),"TOGAF",IF(ISNUMBER(SEARCH("DPI",E274)),"DPI",IF(ISNUMBER(SEARCH("DITS",E274)),"DITS",IF(ISNUMBER(SEARCH("AGILE",E274)),"AGILE",IF(ISNUMBER(SEARCH("Ciberseguridad",E274)),"Ciberseguridad","Otros"))))))))))))))</f>
        <v/>
      </c>
      <c r="Q274" s="44" t="str">
        <f aca="false">IF(B274="","",IF(ISNUMBER(K274),IF(K274&lt;=3,"1-3 meses",IF(K274&lt;=6,"4-6 meses","+6 meses")),"Sin dato registrado"))</f>
        <v/>
      </c>
      <c r="R274" s="44" t="str">
        <f aca="false">IF(OR(B274="",M274=""),"",RANK(M274,$M$3:$M$306)+COUNTIF($M$3:M274,M274)-1)</f>
        <v/>
      </c>
    </row>
    <row r="275" customFormat="false" ht="15" hidden="false" customHeight="true" outlineLevel="0" collapsed="false">
      <c r="M275" s="44" t="str">
        <f aca="false">IF(B275="","",IF(ISNUMBER(I275),I275,IFERROR(VALUE(SUBSTITUTE(SUBSTITUTE(I275,"$",""),".","")),0)))</f>
        <v/>
      </c>
      <c r="N275" s="44" t="str">
        <f aca="false">IF(B275="","",PROPER(TRIM(D275)))</f>
        <v/>
      </c>
      <c r="O275" s="44" t="str">
        <f aca="false">IF(B275="","",IF(OR(ISNUMBER(SEARCH("AL DIA",L275)),ISNUMBER(SEARCH("AL DIA",F275))),"Al día",IF(OR(ISNUMBER(SEARCH("QUIETO",L275)),ISNUMBER(SEARCH("QUIETO",F275)),ISNUMBER(SEARCH("ESPERANDO",L275)),ISNUMBER(SEARCH("ESPERANDO",F275))),"Sin respuesta / Inactivo",IF(OR(ISNUMBER(SEARCH("PENDIENTE",L275)),ISNUMBER(SEARCH("PENDIENTE",F275)),ISNUMBER(SEARCH("COMPROMISO",F275)),ISNUMBER(SEARCH("COMPROMISO",L275)),ISNUMBER(SEARCH("PROCESO",F275)),ISNUMBER(SEARCH("LLAMAR",F275)),ISNUMBER(SEARCH("ABONO",J275)),EXACT(L275,"P"),EXACT(F275,"P")),"Pendiente / Compromiso","Sin gestionar"))))</f>
        <v/>
      </c>
      <c r="P275" s="44" t="str">
        <f aca="false">IF(B275="","",IF(E275="","Sin definir",IF(ISNUMBER(SEARCH("ITIL",E275)),"ITIL",IF(ISNUMBER(SEARCH("ISO 27001",E275)),"ISO 27001",IF(ISNUMBER(SEARCH("ISO 42001",E275)),"ISO 42001",IF(ISNUMBER(SEARCH("ISO",E275)),"Otras ISO",IF(ISNUMBER(SEARCH("SCRUM",E275)),"SCRUM",IF(ISNUMBER(SEARCH("BRIDGE",E275)),"BRIDGE",IF(ISNUMBER(SEARCH("CDS",E275)),"CDS",IF(ISNUMBER(SEARCH("TOGAF",E275)),"TOGAF",IF(ISNUMBER(SEARCH("DPI",E275)),"DPI",IF(ISNUMBER(SEARCH("DITS",E275)),"DITS",IF(ISNUMBER(SEARCH("AGILE",E275)),"AGILE",IF(ISNUMBER(SEARCH("Ciberseguridad",E275)),"Ciberseguridad","Otros"))))))))))))))</f>
        <v/>
      </c>
      <c r="Q275" s="44" t="str">
        <f aca="false">IF(B275="","",IF(ISNUMBER(K275),IF(K275&lt;=3,"1-3 meses",IF(K275&lt;=6,"4-6 meses","+6 meses")),"Sin dato registrado"))</f>
        <v/>
      </c>
      <c r="R275" s="44" t="str">
        <f aca="false">IF(OR(B275="",M275=""),"",RANK(M275,$M$3:$M$306)+COUNTIF($M$3:M275,M275)-1)</f>
        <v/>
      </c>
    </row>
    <row r="276" customFormat="false" ht="15" hidden="false" customHeight="true" outlineLevel="0" collapsed="false">
      <c r="M276" s="44" t="str">
        <f aca="false">IF(B276="","",IF(ISNUMBER(I276),I276,IFERROR(VALUE(SUBSTITUTE(SUBSTITUTE(I276,"$",""),".","")),0)))</f>
        <v/>
      </c>
      <c r="N276" s="44" t="str">
        <f aca="false">IF(B276="","",PROPER(TRIM(D276)))</f>
        <v/>
      </c>
      <c r="O276" s="44" t="str">
        <f aca="false">IF(B276="","",IF(OR(ISNUMBER(SEARCH("AL DIA",L276)),ISNUMBER(SEARCH("AL DIA",F276))),"Al día",IF(OR(ISNUMBER(SEARCH("QUIETO",L276)),ISNUMBER(SEARCH("QUIETO",F276)),ISNUMBER(SEARCH("ESPERANDO",L276)),ISNUMBER(SEARCH("ESPERANDO",F276))),"Sin respuesta / Inactivo",IF(OR(ISNUMBER(SEARCH("PENDIENTE",L276)),ISNUMBER(SEARCH("PENDIENTE",F276)),ISNUMBER(SEARCH("COMPROMISO",F276)),ISNUMBER(SEARCH("COMPROMISO",L276)),ISNUMBER(SEARCH("PROCESO",F276)),ISNUMBER(SEARCH("LLAMAR",F276)),ISNUMBER(SEARCH("ABONO",J276)),EXACT(L276,"P"),EXACT(F276,"P")),"Pendiente / Compromiso","Sin gestionar"))))</f>
        <v/>
      </c>
      <c r="P276" s="44" t="str">
        <f aca="false">IF(B276="","",IF(E276="","Sin definir",IF(ISNUMBER(SEARCH("ITIL",E276)),"ITIL",IF(ISNUMBER(SEARCH("ISO 27001",E276)),"ISO 27001",IF(ISNUMBER(SEARCH("ISO 42001",E276)),"ISO 42001",IF(ISNUMBER(SEARCH("ISO",E276)),"Otras ISO",IF(ISNUMBER(SEARCH("SCRUM",E276)),"SCRUM",IF(ISNUMBER(SEARCH("BRIDGE",E276)),"BRIDGE",IF(ISNUMBER(SEARCH("CDS",E276)),"CDS",IF(ISNUMBER(SEARCH("TOGAF",E276)),"TOGAF",IF(ISNUMBER(SEARCH("DPI",E276)),"DPI",IF(ISNUMBER(SEARCH("DITS",E276)),"DITS",IF(ISNUMBER(SEARCH("AGILE",E276)),"AGILE",IF(ISNUMBER(SEARCH("Ciberseguridad",E276)),"Ciberseguridad","Otros"))))))))))))))</f>
        <v/>
      </c>
      <c r="Q276" s="44" t="str">
        <f aca="false">IF(B276="","",IF(ISNUMBER(K276),IF(K276&lt;=3,"1-3 meses",IF(K276&lt;=6,"4-6 meses","+6 meses")),"Sin dato registrado"))</f>
        <v/>
      </c>
      <c r="R276" s="44" t="str">
        <f aca="false">IF(OR(B276="",M276=""),"",RANK(M276,$M$3:$M$306)+COUNTIF($M$3:M276,M276)-1)</f>
        <v/>
      </c>
    </row>
    <row r="277" customFormat="false" ht="15" hidden="false" customHeight="true" outlineLevel="0" collapsed="false">
      <c r="M277" s="44" t="str">
        <f aca="false">IF(B277="","",IF(ISNUMBER(I277),I277,IFERROR(VALUE(SUBSTITUTE(SUBSTITUTE(I277,"$",""),".","")),0)))</f>
        <v/>
      </c>
      <c r="N277" s="44" t="str">
        <f aca="false">IF(B277="","",PROPER(TRIM(D277)))</f>
        <v/>
      </c>
      <c r="O277" s="44" t="str">
        <f aca="false">IF(B277="","",IF(OR(ISNUMBER(SEARCH("AL DIA",L277)),ISNUMBER(SEARCH("AL DIA",F277))),"Al día",IF(OR(ISNUMBER(SEARCH("QUIETO",L277)),ISNUMBER(SEARCH("QUIETO",F277)),ISNUMBER(SEARCH("ESPERANDO",L277)),ISNUMBER(SEARCH("ESPERANDO",F277))),"Sin respuesta / Inactivo",IF(OR(ISNUMBER(SEARCH("PENDIENTE",L277)),ISNUMBER(SEARCH("PENDIENTE",F277)),ISNUMBER(SEARCH("COMPROMISO",F277)),ISNUMBER(SEARCH("COMPROMISO",L277)),ISNUMBER(SEARCH("PROCESO",F277)),ISNUMBER(SEARCH("LLAMAR",F277)),ISNUMBER(SEARCH("ABONO",J277)),EXACT(L277,"P"),EXACT(F277,"P")),"Pendiente / Compromiso","Sin gestionar"))))</f>
        <v/>
      </c>
      <c r="P277" s="44" t="str">
        <f aca="false">IF(B277="","",IF(E277="","Sin definir",IF(ISNUMBER(SEARCH("ITIL",E277)),"ITIL",IF(ISNUMBER(SEARCH("ISO 27001",E277)),"ISO 27001",IF(ISNUMBER(SEARCH("ISO 42001",E277)),"ISO 42001",IF(ISNUMBER(SEARCH("ISO",E277)),"Otras ISO",IF(ISNUMBER(SEARCH("SCRUM",E277)),"SCRUM",IF(ISNUMBER(SEARCH("BRIDGE",E277)),"BRIDGE",IF(ISNUMBER(SEARCH("CDS",E277)),"CDS",IF(ISNUMBER(SEARCH("TOGAF",E277)),"TOGAF",IF(ISNUMBER(SEARCH("DPI",E277)),"DPI",IF(ISNUMBER(SEARCH("DITS",E277)),"DITS",IF(ISNUMBER(SEARCH("AGILE",E277)),"AGILE",IF(ISNUMBER(SEARCH("Ciberseguridad",E277)),"Ciberseguridad","Otros"))))))))))))))</f>
        <v/>
      </c>
      <c r="Q277" s="44" t="str">
        <f aca="false">IF(B277="","",IF(ISNUMBER(K277),IF(K277&lt;=3,"1-3 meses",IF(K277&lt;=6,"4-6 meses","+6 meses")),"Sin dato registrado"))</f>
        <v/>
      </c>
      <c r="R277" s="44" t="str">
        <f aca="false">IF(OR(B277="",M277=""),"",RANK(M277,$M$3:$M$306)+COUNTIF($M$3:M277,M277)-1)</f>
        <v/>
      </c>
    </row>
    <row r="278" customFormat="false" ht="15" hidden="false" customHeight="true" outlineLevel="0" collapsed="false">
      <c r="M278" s="44" t="str">
        <f aca="false">IF(B278="","",IF(ISNUMBER(I278),I278,IFERROR(VALUE(SUBSTITUTE(SUBSTITUTE(I278,"$",""),".","")),0)))</f>
        <v/>
      </c>
      <c r="N278" s="44" t="str">
        <f aca="false">IF(B278="","",PROPER(TRIM(D278)))</f>
        <v/>
      </c>
      <c r="O278" s="44" t="str">
        <f aca="false">IF(B278="","",IF(OR(ISNUMBER(SEARCH("AL DIA",L278)),ISNUMBER(SEARCH("AL DIA",F278))),"Al día",IF(OR(ISNUMBER(SEARCH("QUIETO",L278)),ISNUMBER(SEARCH("QUIETO",F278)),ISNUMBER(SEARCH("ESPERANDO",L278)),ISNUMBER(SEARCH("ESPERANDO",F278))),"Sin respuesta / Inactivo",IF(OR(ISNUMBER(SEARCH("PENDIENTE",L278)),ISNUMBER(SEARCH("PENDIENTE",F278)),ISNUMBER(SEARCH("COMPROMISO",F278)),ISNUMBER(SEARCH("COMPROMISO",L278)),ISNUMBER(SEARCH("PROCESO",F278)),ISNUMBER(SEARCH("LLAMAR",F278)),ISNUMBER(SEARCH("ABONO",J278)),EXACT(L278,"P"),EXACT(F278,"P")),"Pendiente / Compromiso","Sin gestionar"))))</f>
        <v/>
      </c>
      <c r="P278" s="44" t="str">
        <f aca="false">IF(B278="","",IF(E278="","Sin definir",IF(ISNUMBER(SEARCH("ITIL",E278)),"ITIL",IF(ISNUMBER(SEARCH("ISO 27001",E278)),"ISO 27001",IF(ISNUMBER(SEARCH("ISO 42001",E278)),"ISO 42001",IF(ISNUMBER(SEARCH("ISO",E278)),"Otras ISO",IF(ISNUMBER(SEARCH("SCRUM",E278)),"SCRUM",IF(ISNUMBER(SEARCH("BRIDGE",E278)),"BRIDGE",IF(ISNUMBER(SEARCH("CDS",E278)),"CDS",IF(ISNUMBER(SEARCH("TOGAF",E278)),"TOGAF",IF(ISNUMBER(SEARCH("DPI",E278)),"DPI",IF(ISNUMBER(SEARCH("DITS",E278)),"DITS",IF(ISNUMBER(SEARCH("AGILE",E278)),"AGILE",IF(ISNUMBER(SEARCH("Ciberseguridad",E278)),"Ciberseguridad","Otros"))))))))))))))</f>
        <v/>
      </c>
      <c r="Q278" s="44" t="str">
        <f aca="false">IF(B278="","",IF(ISNUMBER(K278),IF(K278&lt;=3,"1-3 meses",IF(K278&lt;=6,"4-6 meses","+6 meses")),"Sin dato registrado"))</f>
        <v/>
      </c>
      <c r="R278" s="44" t="str">
        <f aca="false">IF(OR(B278="",M278=""),"",RANK(M278,$M$3:$M$306)+COUNTIF($M$3:M278,M278)-1)</f>
        <v/>
      </c>
    </row>
    <row r="279" customFormat="false" ht="15" hidden="false" customHeight="true" outlineLevel="0" collapsed="false">
      <c r="M279" s="44" t="str">
        <f aca="false">IF(B279="","",IF(ISNUMBER(I279),I279,IFERROR(VALUE(SUBSTITUTE(SUBSTITUTE(I279,"$",""),".","")),0)))</f>
        <v/>
      </c>
      <c r="N279" s="44" t="str">
        <f aca="false">IF(B279="","",PROPER(TRIM(D279)))</f>
        <v/>
      </c>
      <c r="O279" s="44" t="str">
        <f aca="false">IF(B279="","",IF(OR(ISNUMBER(SEARCH("AL DIA",L279)),ISNUMBER(SEARCH("AL DIA",F279))),"Al día",IF(OR(ISNUMBER(SEARCH("QUIETO",L279)),ISNUMBER(SEARCH("QUIETO",F279)),ISNUMBER(SEARCH("ESPERANDO",L279)),ISNUMBER(SEARCH("ESPERANDO",F279))),"Sin respuesta / Inactivo",IF(OR(ISNUMBER(SEARCH("PENDIENTE",L279)),ISNUMBER(SEARCH("PENDIENTE",F279)),ISNUMBER(SEARCH("COMPROMISO",F279)),ISNUMBER(SEARCH("COMPROMISO",L279)),ISNUMBER(SEARCH("PROCESO",F279)),ISNUMBER(SEARCH("LLAMAR",F279)),ISNUMBER(SEARCH("ABONO",J279)),EXACT(L279,"P"),EXACT(F279,"P")),"Pendiente / Compromiso","Sin gestionar"))))</f>
        <v/>
      </c>
      <c r="P279" s="44" t="str">
        <f aca="false">IF(B279="","",IF(E279="","Sin definir",IF(ISNUMBER(SEARCH("ITIL",E279)),"ITIL",IF(ISNUMBER(SEARCH("ISO 27001",E279)),"ISO 27001",IF(ISNUMBER(SEARCH("ISO 42001",E279)),"ISO 42001",IF(ISNUMBER(SEARCH("ISO",E279)),"Otras ISO",IF(ISNUMBER(SEARCH("SCRUM",E279)),"SCRUM",IF(ISNUMBER(SEARCH("BRIDGE",E279)),"BRIDGE",IF(ISNUMBER(SEARCH("CDS",E279)),"CDS",IF(ISNUMBER(SEARCH("TOGAF",E279)),"TOGAF",IF(ISNUMBER(SEARCH("DPI",E279)),"DPI",IF(ISNUMBER(SEARCH("DITS",E279)),"DITS",IF(ISNUMBER(SEARCH("AGILE",E279)),"AGILE",IF(ISNUMBER(SEARCH("Ciberseguridad",E279)),"Ciberseguridad","Otros"))))))))))))))</f>
        <v/>
      </c>
      <c r="Q279" s="44" t="str">
        <f aca="false">IF(B279="","",IF(ISNUMBER(K279),IF(K279&lt;=3,"1-3 meses",IF(K279&lt;=6,"4-6 meses","+6 meses")),"Sin dato registrado"))</f>
        <v/>
      </c>
      <c r="R279" s="44" t="str">
        <f aca="false">IF(OR(B279="",M279=""),"",RANK(M279,$M$3:$M$306)+COUNTIF($M$3:M279,M279)-1)</f>
        <v/>
      </c>
    </row>
    <row r="280" customFormat="false" ht="15" hidden="false" customHeight="true" outlineLevel="0" collapsed="false">
      <c r="M280" s="44" t="str">
        <f aca="false">IF(B280="","",IF(ISNUMBER(I280),I280,IFERROR(VALUE(SUBSTITUTE(SUBSTITUTE(I280,"$",""),".","")),0)))</f>
        <v/>
      </c>
      <c r="N280" s="44" t="str">
        <f aca="false">IF(B280="","",PROPER(TRIM(D280)))</f>
        <v/>
      </c>
      <c r="O280" s="44" t="str">
        <f aca="false">IF(B280="","",IF(OR(ISNUMBER(SEARCH("AL DIA",L280)),ISNUMBER(SEARCH("AL DIA",F280))),"Al día",IF(OR(ISNUMBER(SEARCH("QUIETO",L280)),ISNUMBER(SEARCH("QUIETO",F280)),ISNUMBER(SEARCH("ESPERANDO",L280)),ISNUMBER(SEARCH("ESPERANDO",F280))),"Sin respuesta / Inactivo",IF(OR(ISNUMBER(SEARCH("PENDIENTE",L280)),ISNUMBER(SEARCH("PENDIENTE",F280)),ISNUMBER(SEARCH("COMPROMISO",F280)),ISNUMBER(SEARCH("COMPROMISO",L280)),ISNUMBER(SEARCH("PROCESO",F280)),ISNUMBER(SEARCH("LLAMAR",F280)),ISNUMBER(SEARCH("ABONO",J280)),EXACT(L280,"P"),EXACT(F280,"P")),"Pendiente / Compromiso","Sin gestionar"))))</f>
        <v/>
      </c>
      <c r="P280" s="44" t="str">
        <f aca="false">IF(B280="","",IF(E280="","Sin definir",IF(ISNUMBER(SEARCH("ITIL",E280)),"ITIL",IF(ISNUMBER(SEARCH("ISO 27001",E280)),"ISO 27001",IF(ISNUMBER(SEARCH("ISO 42001",E280)),"ISO 42001",IF(ISNUMBER(SEARCH("ISO",E280)),"Otras ISO",IF(ISNUMBER(SEARCH("SCRUM",E280)),"SCRUM",IF(ISNUMBER(SEARCH("BRIDGE",E280)),"BRIDGE",IF(ISNUMBER(SEARCH("CDS",E280)),"CDS",IF(ISNUMBER(SEARCH("TOGAF",E280)),"TOGAF",IF(ISNUMBER(SEARCH("DPI",E280)),"DPI",IF(ISNUMBER(SEARCH("DITS",E280)),"DITS",IF(ISNUMBER(SEARCH("AGILE",E280)),"AGILE",IF(ISNUMBER(SEARCH("Ciberseguridad",E280)),"Ciberseguridad","Otros"))))))))))))))</f>
        <v/>
      </c>
      <c r="Q280" s="44" t="str">
        <f aca="false">IF(B280="","",IF(ISNUMBER(K280),IF(K280&lt;=3,"1-3 meses",IF(K280&lt;=6,"4-6 meses","+6 meses")),"Sin dato registrado"))</f>
        <v/>
      </c>
      <c r="R280" s="44" t="str">
        <f aca="false">IF(OR(B280="",M280=""),"",RANK(M280,$M$3:$M$306)+COUNTIF($M$3:M280,M280)-1)</f>
        <v/>
      </c>
    </row>
    <row r="281" customFormat="false" ht="15" hidden="false" customHeight="true" outlineLevel="0" collapsed="false">
      <c r="M281" s="44" t="str">
        <f aca="false">IF(B281="","",IF(ISNUMBER(I281),I281,IFERROR(VALUE(SUBSTITUTE(SUBSTITUTE(I281,"$",""),".","")),0)))</f>
        <v/>
      </c>
      <c r="N281" s="44" t="str">
        <f aca="false">IF(B281="","",PROPER(TRIM(D281)))</f>
        <v/>
      </c>
      <c r="O281" s="44" t="str">
        <f aca="false">IF(B281="","",IF(OR(ISNUMBER(SEARCH("AL DIA",L281)),ISNUMBER(SEARCH("AL DIA",F281))),"Al día",IF(OR(ISNUMBER(SEARCH("QUIETO",L281)),ISNUMBER(SEARCH("QUIETO",F281)),ISNUMBER(SEARCH("ESPERANDO",L281)),ISNUMBER(SEARCH("ESPERANDO",F281))),"Sin respuesta / Inactivo",IF(OR(ISNUMBER(SEARCH("PENDIENTE",L281)),ISNUMBER(SEARCH("PENDIENTE",F281)),ISNUMBER(SEARCH("COMPROMISO",F281)),ISNUMBER(SEARCH("COMPROMISO",L281)),ISNUMBER(SEARCH("PROCESO",F281)),ISNUMBER(SEARCH("LLAMAR",F281)),ISNUMBER(SEARCH("ABONO",J281)),EXACT(L281,"P"),EXACT(F281,"P")),"Pendiente / Compromiso","Sin gestionar"))))</f>
        <v/>
      </c>
      <c r="P281" s="44" t="str">
        <f aca="false">IF(B281="","",IF(E281="","Sin definir",IF(ISNUMBER(SEARCH("ITIL",E281)),"ITIL",IF(ISNUMBER(SEARCH("ISO 27001",E281)),"ISO 27001",IF(ISNUMBER(SEARCH("ISO 42001",E281)),"ISO 42001",IF(ISNUMBER(SEARCH("ISO",E281)),"Otras ISO",IF(ISNUMBER(SEARCH("SCRUM",E281)),"SCRUM",IF(ISNUMBER(SEARCH("BRIDGE",E281)),"BRIDGE",IF(ISNUMBER(SEARCH("CDS",E281)),"CDS",IF(ISNUMBER(SEARCH("TOGAF",E281)),"TOGAF",IF(ISNUMBER(SEARCH("DPI",E281)),"DPI",IF(ISNUMBER(SEARCH("DITS",E281)),"DITS",IF(ISNUMBER(SEARCH("AGILE",E281)),"AGILE",IF(ISNUMBER(SEARCH("Ciberseguridad",E281)),"Ciberseguridad","Otros"))))))))))))))</f>
        <v/>
      </c>
      <c r="Q281" s="44" t="str">
        <f aca="false">IF(B281="","",IF(ISNUMBER(K281),IF(K281&lt;=3,"1-3 meses",IF(K281&lt;=6,"4-6 meses","+6 meses")),"Sin dato registrado"))</f>
        <v/>
      </c>
      <c r="R281" s="44" t="str">
        <f aca="false">IF(OR(B281="",M281=""),"",RANK(M281,$M$3:$M$306)+COUNTIF($M$3:M281,M281)-1)</f>
        <v/>
      </c>
    </row>
    <row r="282" customFormat="false" ht="15" hidden="false" customHeight="true" outlineLevel="0" collapsed="false">
      <c r="M282" s="44" t="str">
        <f aca="false">IF(B282="","",IF(ISNUMBER(I282),I282,IFERROR(VALUE(SUBSTITUTE(SUBSTITUTE(I282,"$",""),".","")),0)))</f>
        <v/>
      </c>
      <c r="N282" s="44" t="str">
        <f aca="false">IF(B282="","",PROPER(TRIM(D282)))</f>
        <v/>
      </c>
      <c r="O282" s="44" t="str">
        <f aca="false">IF(B282="","",IF(OR(ISNUMBER(SEARCH("AL DIA",L282)),ISNUMBER(SEARCH("AL DIA",F282))),"Al día",IF(OR(ISNUMBER(SEARCH("QUIETO",L282)),ISNUMBER(SEARCH("QUIETO",F282)),ISNUMBER(SEARCH("ESPERANDO",L282)),ISNUMBER(SEARCH("ESPERANDO",F282))),"Sin respuesta / Inactivo",IF(OR(ISNUMBER(SEARCH("PENDIENTE",L282)),ISNUMBER(SEARCH("PENDIENTE",F282)),ISNUMBER(SEARCH("COMPROMISO",F282)),ISNUMBER(SEARCH("COMPROMISO",L282)),ISNUMBER(SEARCH("PROCESO",F282)),ISNUMBER(SEARCH("LLAMAR",F282)),ISNUMBER(SEARCH("ABONO",J282)),EXACT(L282,"P"),EXACT(F282,"P")),"Pendiente / Compromiso","Sin gestionar"))))</f>
        <v/>
      </c>
      <c r="P282" s="44" t="str">
        <f aca="false">IF(B282="","",IF(E282="","Sin definir",IF(ISNUMBER(SEARCH("ITIL",E282)),"ITIL",IF(ISNUMBER(SEARCH("ISO 27001",E282)),"ISO 27001",IF(ISNUMBER(SEARCH("ISO 42001",E282)),"ISO 42001",IF(ISNUMBER(SEARCH("ISO",E282)),"Otras ISO",IF(ISNUMBER(SEARCH("SCRUM",E282)),"SCRUM",IF(ISNUMBER(SEARCH("BRIDGE",E282)),"BRIDGE",IF(ISNUMBER(SEARCH("CDS",E282)),"CDS",IF(ISNUMBER(SEARCH("TOGAF",E282)),"TOGAF",IF(ISNUMBER(SEARCH("DPI",E282)),"DPI",IF(ISNUMBER(SEARCH("DITS",E282)),"DITS",IF(ISNUMBER(SEARCH("AGILE",E282)),"AGILE",IF(ISNUMBER(SEARCH("Ciberseguridad",E282)),"Ciberseguridad","Otros"))))))))))))))</f>
        <v/>
      </c>
      <c r="Q282" s="44" t="str">
        <f aca="false">IF(B282="","",IF(ISNUMBER(K282),IF(K282&lt;=3,"1-3 meses",IF(K282&lt;=6,"4-6 meses","+6 meses")),"Sin dato registrado"))</f>
        <v/>
      </c>
      <c r="R282" s="44" t="str">
        <f aca="false">IF(OR(B282="",M282=""),"",RANK(M282,$M$3:$M$306)+COUNTIF($M$3:M282,M282)-1)</f>
        <v/>
      </c>
    </row>
    <row r="283" customFormat="false" ht="15" hidden="false" customHeight="true" outlineLevel="0" collapsed="false">
      <c r="M283" s="44" t="str">
        <f aca="false">IF(B283="","",IF(ISNUMBER(I283),I283,IFERROR(VALUE(SUBSTITUTE(SUBSTITUTE(I283,"$",""),".","")),0)))</f>
        <v/>
      </c>
      <c r="N283" s="44" t="str">
        <f aca="false">IF(B283="","",PROPER(TRIM(D283)))</f>
        <v/>
      </c>
      <c r="O283" s="44" t="str">
        <f aca="false">IF(B283="","",IF(OR(ISNUMBER(SEARCH("AL DIA",L283)),ISNUMBER(SEARCH("AL DIA",F283))),"Al día",IF(OR(ISNUMBER(SEARCH("QUIETO",L283)),ISNUMBER(SEARCH("QUIETO",F283)),ISNUMBER(SEARCH("ESPERANDO",L283)),ISNUMBER(SEARCH("ESPERANDO",F283))),"Sin respuesta / Inactivo",IF(OR(ISNUMBER(SEARCH("PENDIENTE",L283)),ISNUMBER(SEARCH("PENDIENTE",F283)),ISNUMBER(SEARCH("COMPROMISO",F283)),ISNUMBER(SEARCH("COMPROMISO",L283)),ISNUMBER(SEARCH("PROCESO",F283)),ISNUMBER(SEARCH("LLAMAR",F283)),ISNUMBER(SEARCH("ABONO",J283)),EXACT(L283,"P"),EXACT(F283,"P")),"Pendiente / Compromiso","Sin gestionar"))))</f>
        <v/>
      </c>
      <c r="P283" s="44" t="str">
        <f aca="false">IF(B283="","",IF(E283="","Sin definir",IF(ISNUMBER(SEARCH("ITIL",E283)),"ITIL",IF(ISNUMBER(SEARCH("ISO 27001",E283)),"ISO 27001",IF(ISNUMBER(SEARCH("ISO 42001",E283)),"ISO 42001",IF(ISNUMBER(SEARCH("ISO",E283)),"Otras ISO",IF(ISNUMBER(SEARCH("SCRUM",E283)),"SCRUM",IF(ISNUMBER(SEARCH("BRIDGE",E283)),"BRIDGE",IF(ISNUMBER(SEARCH("CDS",E283)),"CDS",IF(ISNUMBER(SEARCH("TOGAF",E283)),"TOGAF",IF(ISNUMBER(SEARCH("DPI",E283)),"DPI",IF(ISNUMBER(SEARCH("DITS",E283)),"DITS",IF(ISNUMBER(SEARCH("AGILE",E283)),"AGILE",IF(ISNUMBER(SEARCH("Ciberseguridad",E283)),"Ciberseguridad","Otros"))))))))))))))</f>
        <v/>
      </c>
      <c r="Q283" s="44" t="str">
        <f aca="false">IF(B283="","",IF(ISNUMBER(K283),IF(K283&lt;=3,"1-3 meses",IF(K283&lt;=6,"4-6 meses","+6 meses")),"Sin dato registrado"))</f>
        <v/>
      </c>
      <c r="R283" s="44" t="str">
        <f aca="false">IF(OR(B283="",M283=""),"",RANK(M283,$M$3:$M$306)+COUNTIF($M$3:M283,M283)-1)</f>
        <v/>
      </c>
    </row>
    <row r="284" customFormat="false" ht="15" hidden="false" customHeight="true" outlineLevel="0" collapsed="false">
      <c r="M284" s="44" t="str">
        <f aca="false">IF(B284="","",IF(ISNUMBER(I284),I284,IFERROR(VALUE(SUBSTITUTE(SUBSTITUTE(I284,"$",""),".","")),0)))</f>
        <v/>
      </c>
      <c r="N284" s="44" t="str">
        <f aca="false">IF(B284="","",PROPER(TRIM(D284)))</f>
        <v/>
      </c>
      <c r="O284" s="44" t="str">
        <f aca="false">IF(B284="","",IF(OR(ISNUMBER(SEARCH("AL DIA",L284)),ISNUMBER(SEARCH("AL DIA",F284))),"Al día",IF(OR(ISNUMBER(SEARCH("QUIETO",L284)),ISNUMBER(SEARCH("QUIETO",F284)),ISNUMBER(SEARCH("ESPERANDO",L284)),ISNUMBER(SEARCH("ESPERANDO",F284))),"Sin respuesta / Inactivo",IF(OR(ISNUMBER(SEARCH("PENDIENTE",L284)),ISNUMBER(SEARCH("PENDIENTE",F284)),ISNUMBER(SEARCH("COMPROMISO",F284)),ISNUMBER(SEARCH("COMPROMISO",L284)),ISNUMBER(SEARCH("PROCESO",F284)),ISNUMBER(SEARCH("LLAMAR",F284)),ISNUMBER(SEARCH("ABONO",J284)),EXACT(L284,"P"),EXACT(F284,"P")),"Pendiente / Compromiso","Sin gestionar"))))</f>
        <v/>
      </c>
      <c r="P284" s="44" t="str">
        <f aca="false">IF(B284="","",IF(E284="","Sin definir",IF(ISNUMBER(SEARCH("ITIL",E284)),"ITIL",IF(ISNUMBER(SEARCH("ISO 27001",E284)),"ISO 27001",IF(ISNUMBER(SEARCH("ISO 42001",E284)),"ISO 42001",IF(ISNUMBER(SEARCH("ISO",E284)),"Otras ISO",IF(ISNUMBER(SEARCH("SCRUM",E284)),"SCRUM",IF(ISNUMBER(SEARCH("BRIDGE",E284)),"BRIDGE",IF(ISNUMBER(SEARCH("CDS",E284)),"CDS",IF(ISNUMBER(SEARCH("TOGAF",E284)),"TOGAF",IF(ISNUMBER(SEARCH("DPI",E284)),"DPI",IF(ISNUMBER(SEARCH("DITS",E284)),"DITS",IF(ISNUMBER(SEARCH("AGILE",E284)),"AGILE",IF(ISNUMBER(SEARCH("Ciberseguridad",E284)),"Ciberseguridad","Otros"))))))))))))))</f>
        <v/>
      </c>
      <c r="Q284" s="44" t="str">
        <f aca="false">IF(B284="","",IF(ISNUMBER(K284),IF(K284&lt;=3,"1-3 meses",IF(K284&lt;=6,"4-6 meses","+6 meses")),"Sin dato registrado"))</f>
        <v/>
      </c>
      <c r="R284" s="44" t="str">
        <f aca="false">IF(OR(B284="",M284=""),"",RANK(M284,$M$3:$M$306)+COUNTIF($M$3:M284,M284)-1)</f>
        <v/>
      </c>
    </row>
    <row r="285" customFormat="false" ht="15" hidden="false" customHeight="true" outlineLevel="0" collapsed="false">
      <c r="M285" s="44" t="str">
        <f aca="false">IF(B285="","",IF(ISNUMBER(I285),I285,IFERROR(VALUE(SUBSTITUTE(SUBSTITUTE(I285,"$",""),".","")),0)))</f>
        <v/>
      </c>
      <c r="N285" s="44" t="str">
        <f aca="false">IF(B285="","",PROPER(TRIM(D285)))</f>
        <v/>
      </c>
      <c r="O285" s="44" t="str">
        <f aca="false">IF(B285="","",IF(OR(ISNUMBER(SEARCH("AL DIA",L285)),ISNUMBER(SEARCH("AL DIA",F285))),"Al día",IF(OR(ISNUMBER(SEARCH("QUIETO",L285)),ISNUMBER(SEARCH("QUIETO",F285)),ISNUMBER(SEARCH("ESPERANDO",L285)),ISNUMBER(SEARCH("ESPERANDO",F285))),"Sin respuesta / Inactivo",IF(OR(ISNUMBER(SEARCH("PENDIENTE",L285)),ISNUMBER(SEARCH("PENDIENTE",F285)),ISNUMBER(SEARCH("COMPROMISO",F285)),ISNUMBER(SEARCH("COMPROMISO",L285)),ISNUMBER(SEARCH("PROCESO",F285)),ISNUMBER(SEARCH("LLAMAR",F285)),ISNUMBER(SEARCH("ABONO",J285)),EXACT(L285,"P"),EXACT(F285,"P")),"Pendiente / Compromiso","Sin gestionar"))))</f>
        <v/>
      </c>
      <c r="P285" s="44" t="str">
        <f aca="false">IF(B285="","",IF(E285="","Sin definir",IF(ISNUMBER(SEARCH("ITIL",E285)),"ITIL",IF(ISNUMBER(SEARCH("ISO 27001",E285)),"ISO 27001",IF(ISNUMBER(SEARCH("ISO 42001",E285)),"ISO 42001",IF(ISNUMBER(SEARCH("ISO",E285)),"Otras ISO",IF(ISNUMBER(SEARCH("SCRUM",E285)),"SCRUM",IF(ISNUMBER(SEARCH("BRIDGE",E285)),"BRIDGE",IF(ISNUMBER(SEARCH("CDS",E285)),"CDS",IF(ISNUMBER(SEARCH("TOGAF",E285)),"TOGAF",IF(ISNUMBER(SEARCH("DPI",E285)),"DPI",IF(ISNUMBER(SEARCH("DITS",E285)),"DITS",IF(ISNUMBER(SEARCH("AGILE",E285)),"AGILE",IF(ISNUMBER(SEARCH("Ciberseguridad",E285)),"Ciberseguridad","Otros"))))))))))))))</f>
        <v/>
      </c>
      <c r="Q285" s="44" t="str">
        <f aca="false">IF(B285="","",IF(ISNUMBER(K285),IF(K285&lt;=3,"1-3 meses",IF(K285&lt;=6,"4-6 meses","+6 meses")),"Sin dato registrado"))</f>
        <v/>
      </c>
      <c r="R285" s="44" t="str">
        <f aca="false">IF(OR(B285="",M285=""),"",RANK(M285,$M$3:$M$306)+COUNTIF($M$3:M285,M285)-1)</f>
        <v/>
      </c>
    </row>
    <row r="286" customFormat="false" ht="15" hidden="false" customHeight="true" outlineLevel="0" collapsed="false">
      <c r="M286" s="44" t="str">
        <f aca="false">IF(B286="","",IF(ISNUMBER(I286),I286,IFERROR(VALUE(SUBSTITUTE(SUBSTITUTE(I286,"$",""),".","")),0)))</f>
        <v/>
      </c>
      <c r="N286" s="44" t="str">
        <f aca="false">IF(B286="","",PROPER(TRIM(D286)))</f>
        <v/>
      </c>
      <c r="O286" s="44" t="str">
        <f aca="false">IF(B286="","",IF(OR(ISNUMBER(SEARCH("AL DIA",L286)),ISNUMBER(SEARCH("AL DIA",F286))),"Al día",IF(OR(ISNUMBER(SEARCH("QUIETO",L286)),ISNUMBER(SEARCH("QUIETO",F286)),ISNUMBER(SEARCH("ESPERANDO",L286)),ISNUMBER(SEARCH("ESPERANDO",F286))),"Sin respuesta / Inactivo",IF(OR(ISNUMBER(SEARCH("PENDIENTE",L286)),ISNUMBER(SEARCH("PENDIENTE",F286)),ISNUMBER(SEARCH("COMPROMISO",F286)),ISNUMBER(SEARCH("COMPROMISO",L286)),ISNUMBER(SEARCH("PROCESO",F286)),ISNUMBER(SEARCH("LLAMAR",F286)),ISNUMBER(SEARCH("ABONO",J286)),EXACT(L286,"P"),EXACT(F286,"P")),"Pendiente / Compromiso","Sin gestionar"))))</f>
        <v/>
      </c>
      <c r="P286" s="44" t="str">
        <f aca="false">IF(B286="","",IF(E286="","Sin definir",IF(ISNUMBER(SEARCH("ITIL",E286)),"ITIL",IF(ISNUMBER(SEARCH("ISO 27001",E286)),"ISO 27001",IF(ISNUMBER(SEARCH("ISO 42001",E286)),"ISO 42001",IF(ISNUMBER(SEARCH("ISO",E286)),"Otras ISO",IF(ISNUMBER(SEARCH("SCRUM",E286)),"SCRUM",IF(ISNUMBER(SEARCH("BRIDGE",E286)),"BRIDGE",IF(ISNUMBER(SEARCH("CDS",E286)),"CDS",IF(ISNUMBER(SEARCH("TOGAF",E286)),"TOGAF",IF(ISNUMBER(SEARCH("DPI",E286)),"DPI",IF(ISNUMBER(SEARCH("DITS",E286)),"DITS",IF(ISNUMBER(SEARCH("AGILE",E286)),"AGILE",IF(ISNUMBER(SEARCH("Ciberseguridad",E286)),"Ciberseguridad","Otros"))))))))))))))</f>
        <v/>
      </c>
      <c r="Q286" s="44" t="str">
        <f aca="false">IF(B286="","",IF(ISNUMBER(K286),IF(K286&lt;=3,"1-3 meses",IF(K286&lt;=6,"4-6 meses","+6 meses")),"Sin dato registrado"))</f>
        <v/>
      </c>
      <c r="R286" s="44" t="str">
        <f aca="false">IF(OR(B286="",M286=""),"",RANK(M286,$M$3:$M$306)+COUNTIF($M$3:M286,M286)-1)</f>
        <v/>
      </c>
    </row>
    <row r="287" customFormat="false" ht="15" hidden="false" customHeight="true" outlineLevel="0" collapsed="false">
      <c r="M287" s="44" t="str">
        <f aca="false">IF(B287="","",IF(ISNUMBER(I287),I287,IFERROR(VALUE(SUBSTITUTE(SUBSTITUTE(I287,"$",""),".","")),0)))</f>
        <v/>
      </c>
      <c r="N287" s="44" t="str">
        <f aca="false">IF(B287="","",PROPER(TRIM(D287)))</f>
        <v/>
      </c>
      <c r="O287" s="44" t="str">
        <f aca="false">IF(B287="","",IF(OR(ISNUMBER(SEARCH("AL DIA",L287)),ISNUMBER(SEARCH("AL DIA",F287))),"Al día",IF(OR(ISNUMBER(SEARCH("QUIETO",L287)),ISNUMBER(SEARCH("QUIETO",F287)),ISNUMBER(SEARCH("ESPERANDO",L287)),ISNUMBER(SEARCH("ESPERANDO",F287))),"Sin respuesta / Inactivo",IF(OR(ISNUMBER(SEARCH("PENDIENTE",L287)),ISNUMBER(SEARCH("PENDIENTE",F287)),ISNUMBER(SEARCH("COMPROMISO",F287)),ISNUMBER(SEARCH("COMPROMISO",L287)),ISNUMBER(SEARCH("PROCESO",F287)),ISNUMBER(SEARCH("LLAMAR",F287)),ISNUMBER(SEARCH("ABONO",J287)),EXACT(L287,"P"),EXACT(F287,"P")),"Pendiente / Compromiso","Sin gestionar"))))</f>
        <v/>
      </c>
      <c r="P287" s="44" t="str">
        <f aca="false">IF(B287="","",IF(E287="","Sin definir",IF(ISNUMBER(SEARCH("ITIL",E287)),"ITIL",IF(ISNUMBER(SEARCH("ISO 27001",E287)),"ISO 27001",IF(ISNUMBER(SEARCH("ISO 42001",E287)),"ISO 42001",IF(ISNUMBER(SEARCH("ISO",E287)),"Otras ISO",IF(ISNUMBER(SEARCH("SCRUM",E287)),"SCRUM",IF(ISNUMBER(SEARCH("BRIDGE",E287)),"BRIDGE",IF(ISNUMBER(SEARCH("CDS",E287)),"CDS",IF(ISNUMBER(SEARCH("TOGAF",E287)),"TOGAF",IF(ISNUMBER(SEARCH("DPI",E287)),"DPI",IF(ISNUMBER(SEARCH("DITS",E287)),"DITS",IF(ISNUMBER(SEARCH("AGILE",E287)),"AGILE",IF(ISNUMBER(SEARCH("Ciberseguridad",E287)),"Ciberseguridad","Otros"))))))))))))))</f>
        <v/>
      </c>
      <c r="Q287" s="44" t="str">
        <f aca="false">IF(B287="","",IF(ISNUMBER(K287),IF(K287&lt;=3,"1-3 meses",IF(K287&lt;=6,"4-6 meses","+6 meses")),"Sin dato registrado"))</f>
        <v/>
      </c>
      <c r="R287" s="44" t="str">
        <f aca="false">IF(OR(B287="",M287=""),"",RANK(M287,$M$3:$M$306)+COUNTIF($M$3:M287,M287)-1)</f>
        <v/>
      </c>
    </row>
    <row r="288" customFormat="false" ht="15" hidden="false" customHeight="true" outlineLevel="0" collapsed="false">
      <c r="M288" s="44" t="str">
        <f aca="false">IF(B288="","",IF(ISNUMBER(I288),I288,IFERROR(VALUE(SUBSTITUTE(SUBSTITUTE(I288,"$",""),".","")),0)))</f>
        <v/>
      </c>
      <c r="N288" s="44" t="str">
        <f aca="false">IF(B288="","",PROPER(TRIM(D288)))</f>
        <v/>
      </c>
      <c r="O288" s="44" t="str">
        <f aca="false">IF(B288="","",IF(OR(ISNUMBER(SEARCH("AL DIA",L288)),ISNUMBER(SEARCH("AL DIA",F288))),"Al día",IF(OR(ISNUMBER(SEARCH("QUIETO",L288)),ISNUMBER(SEARCH("QUIETO",F288)),ISNUMBER(SEARCH("ESPERANDO",L288)),ISNUMBER(SEARCH("ESPERANDO",F288))),"Sin respuesta / Inactivo",IF(OR(ISNUMBER(SEARCH("PENDIENTE",L288)),ISNUMBER(SEARCH("PENDIENTE",F288)),ISNUMBER(SEARCH("COMPROMISO",F288)),ISNUMBER(SEARCH("COMPROMISO",L288)),ISNUMBER(SEARCH("PROCESO",F288)),ISNUMBER(SEARCH("LLAMAR",F288)),ISNUMBER(SEARCH("ABONO",J288)),EXACT(L288,"P"),EXACT(F288,"P")),"Pendiente / Compromiso","Sin gestionar"))))</f>
        <v/>
      </c>
      <c r="P288" s="44" t="str">
        <f aca="false">IF(B288="","",IF(E288="","Sin definir",IF(ISNUMBER(SEARCH("ITIL",E288)),"ITIL",IF(ISNUMBER(SEARCH("ISO 27001",E288)),"ISO 27001",IF(ISNUMBER(SEARCH("ISO 42001",E288)),"ISO 42001",IF(ISNUMBER(SEARCH("ISO",E288)),"Otras ISO",IF(ISNUMBER(SEARCH("SCRUM",E288)),"SCRUM",IF(ISNUMBER(SEARCH("BRIDGE",E288)),"BRIDGE",IF(ISNUMBER(SEARCH("CDS",E288)),"CDS",IF(ISNUMBER(SEARCH("TOGAF",E288)),"TOGAF",IF(ISNUMBER(SEARCH("DPI",E288)),"DPI",IF(ISNUMBER(SEARCH("DITS",E288)),"DITS",IF(ISNUMBER(SEARCH("AGILE",E288)),"AGILE",IF(ISNUMBER(SEARCH("Ciberseguridad",E288)),"Ciberseguridad","Otros"))))))))))))))</f>
        <v/>
      </c>
      <c r="Q288" s="44" t="str">
        <f aca="false">IF(B288="","",IF(ISNUMBER(K288),IF(K288&lt;=3,"1-3 meses",IF(K288&lt;=6,"4-6 meses","+6 meses")),"Sin dato registrado"))</f>
        <v/>
      </c>
      <c r="R288" s="44" t="str">
        <f aca="false">IF(OR(B288="",M288=""),"",RANK(M288,$M$3:$M$306)+COUNTIF($M$3:M288,M288)-1)</f>
        <v/>
      </c>
    </row>
    <row r="289" customFormat="false" ht="15" hidden="false" customHeight="true" outlineLevel="0" collapsed="false">
      <c r="M289" s="44" t="str">
        <f aca="false">IF(B289="","",IF(ISNUMBER(I289),I289,IFERROR(VALUE(SUBSTITUTE(SUBSTITUTE(I289,"$",""),".","")),0)))</f>
        <v/>
      </c>
      <c r="N289" s="44" t="str">
        <f aca="false">IF(B289="","",PROPER(TRIM(D289)))</f>
        <v/>
      </c>
      <c r="O289" s="44" t="str">
        <f aca="false">IF(B289="","",IF(OR(ISNUMBER(SEARCH("AL DIA",L289)),ISNUMBER(SEARCH("AL DIA",F289))),"Al día",IF(OR(ISNUMBER(SEARCH("QUIETO",L289)),ISNUMBER(SEARCH("QUIETO",F289)),ISNUMBER(SEARCH("ESPERANDO",L289)),ISNUMBER(SEARCH("ESPERANDO",F289))),"Sin respuesta / Inactivo",IF(OR(ISNUMBER(SEARCH("PENDIENTE",L289)),ISNUMBER(SEARCH("PENDIENTE",F289)),ISNUMBER(SEARCH("COMPROMISO",F289)),ISNUMBER(SEARCH("COMPROMISO",L289)),ISNUMBER(SEARCH("PROCESO",F289)),ISNUMBER(SEARCH("LLAMAR",F289)),ISNUMBER(SEARCH("ABONO",J289)),EXACT(L289,"P"),EXACT(F289,"P")),"Pendiente / Compromiso","Sin gestionar"))))</f>
        <v/>
      </c>
      <c r="P289" s="44" t="str">
        <f aca="false">IF(B289="","",IF(E289="","Sin definir",IF(ISNUMBER(SEARCH("ITIL",E289)),"ITIL",IF(ISNUMBER(SEARCH("ISO 27001",E289)),"ISO 27001",IF(ISNUMBER(SEARCH("ISO 42001",E289)),"ISO 42001",IF(ISNUMBER(SEARCH("ISO",E289)),"Otras ISO",IF(ISNUMBER(SEARCH("SCRUM",E289)),"SCRUM",IF(ISNUMBER(SEARCH("BRIDGE",E289)),"BRIDGE",IF(ISNUMBER(SEARCH("CDS",E289)),"CDS",IF(ISNUMBER(SEARCH("TOGAF",E289)),"TOGAF",IF(ISNUMBER(SEARCH("DPI",E289)),"DPI",IF(ISNUMBER(SEARCH("DITS",E289)),"DITS",IF(ISNUMBER(SEARCH("AGILE",E289)),"AGILE",IF(ISNUMBER(SEARCH("Ciberseguridad",E289)),"Ciberseguridad","Otros"))))))))))))))</f>
        <v/>
      </c>
      <c r="Q289" s="44" t="str">
        <f aca="false">IF(B289="","",IF(ISNUMBER(K289),IF(K289&lt;=3,"1-3 meses",IF(K289&lt;=6,"4-6 meses","+6 meses")),"Sin dato registrado"))</f>
        <v/>
      </c>
      <c r="R289" s="44" t="str">
        <f aca="false">IF(OR(B289="",M289=""),"",RANK(M289,$M$3:$M$306)+COUNTIF($M$3:M289,M289)-1)</f>
        <v/>
      </c>
    </row>
    <row r="290" customFormat="false" ht="15" hidden="false" customHeight="true" outlineLevel="0" collapsed="false">
      <c r="M290" s="44" t="str">
        <f aca="false">IF(B290="","",IF(ISNUMBER(I290),I290,IFERROR(VALUE(SUBSTITUTE(SUBSTITUTE(I290,"$",""),".","")),0)))</f>
        <v/>
      </c>
      <c r="N290" s="44" t="str">
        <f aca="false">IF(B290="","",PROPER(TRIM(D290)))</f>
        <v/>
      </c>
      <c r="O290" s="44" t="str">
        <f aca="false">IF(B290="","",IF(OR(ISNUMBER(SEARCH("AL DIA",L290)),ISNUMBER(SEARCH("AL DIA",F290))),"Al día",IF(OR(ISNUMBER(SEARCH("QUIETO",L290)),ISNUMBER(SEARCH("QUIETO",F290)),ISNUMBER(SEARCH("ESPERANDO",L290)),ISNUMBER(SEARCH("ESPERANDO",F290))),"Sin respuesta / Inactivo",IF(OR(ISNUMBER(SEARCH("PENDIENTE",L290)),ISNUMBER(SEARCH("PENDIENTE",F290)),ISNUMBER(SEARCH("COMPROMISO",F290)),ISNUMBER(SEARCH("COMPROMISO",L290)),ISNUMBER(SEARCH("PROCESO",F290)),ISNUMBER(SEARCH("LLAMAR",F290)),ISNUMBER(SEARCH("ABONO",J290)),EXACT(L290,"P"),EXACT(F290,"P")),"Pendiente / Compromiso","Sin gestionar"))))</f>
        <v/>
      </c>
      <c r="P290" s="44" t="str">
        <f aca="false">IF(B290="","",IF(E290="","Sin definir",IF(ISNUMBER(SEARCH("ITIL",E290)),"ITIL",IF(ISNUMBER(SEARCH("ISO 27001",E290)),"ISO 27001",IF(ISNUMBER(SEARCH("ISO 42001",E290)),"ISO 42001",IF(ISNUMBER(SEARCH("ISO",E290)),"Otras ISO",IF(ISNUMBER(SEARCH("SCRUM",E290)),"SCRUM",IF(ISNUMBER(SEARCH("BRIDGE",E290)),"BRIDGE",IF(ISNUMBER(SEARCH("CDS",E290)),"CDS",IF(ISNUMBER(SEARCH("TOGAF",E290)),"TOGAF",IF(ISNUMBER(SEARCH("DPI",E290)),"DPI",IF(ISNUMBER(SEARCH("DITS",E290)),"DITS",IF(ISNUMBER(SEARCH("AGILE",E290)),"AGILE",IF(ISNUMBER(SEARCH("Ciberseguridad",E290)),"Ciberseguridad","Otros"))))))))))))))</f>
        <v/>
      </c>
      <c r="Q290" s="44" t="str">
        <f aca="false">IF(B290="","",IF(ISNUMBER(K290),IF(K290&lt;=3,"1-3 meses",IF(K290&lt;=6,"4-6 meses","+6 meses")),"Sin dato registrado"))</f>
        <v/>
      </c>
      <c r="R290" s="44" t="str">
        <f aca="false">IF(OR(B290="",M290=""),"",RANK(M290,$M$3:$M$306)+COUNTIF($M$3:M290,M290)-1)</f>
        <v/>
      </c>
    </row>
    <row r="291" customFormat="false" ht="15" hidden="false" customHeight="true" outlineLevel="0" collapsed="false">
      <c r="M291" s="44" t="str">
        <f aca="false">IF(B291="","",IF(ISNUMBER(I291),I291,IFERROR(VALUE(SUBSTITUTE(SUBSTITUTE(I291,"$",""),".","")),0)))</f>
        <v/>
      </c>
      <c r="N291" s="44" t="str">
        <f aca="false">IF(B291="","",PROPER(TRIM(D291)))</f>
        <v/>
      </c>
      <c r="O291" s="44" t="str">
        <f aca="false">IF(B291="","",IF(OR(ISNUMBER(SEARCH("AL DIA",L291)),ISNUMBER(SEARCH("AL DIA",F291))),"Al día",IF(OR(ISNUMBER(SEARCH("QUIETO",L291)),ISNUMBER(SEARCH("QUIETO",F291)),ISNUMBER(SEARCH("ESPERANDO",L291)),ISNUMBER(SEARCH("ESPERANDO",F291))),"Sin respuesta / Inactivo",IF(OR(ISNUMBER(SEARCH("PENDIENTE",L291)),ISNUMBER(SEARCH("PENDIENTE",F291)),ISNUMBER(SEARCH("COMPROMISO",F291)),ISNUMBER(SEARCH("COMPROMISO",L291)),ISNUMBER(SEARCH("PROCESO",F291)),ISNUMBER(SEARCH("LLAMAR",F291)),ISNUMBER(SEARCH("ABONO",J291)),EXACT(L291,"P"),EXACT(F291,"P")),"Pendiente / Compromiso","Sin gestionar"))))</f>
        <v/>
      </c>
      <c r="P291" s="44" t="str">
        <f aca="false">IF(B291="","",IF(E291="","Sin definir",IF(ISNUMBER(SEARCH("ITIL",E291)),"ITIL",IF(ISNUMBER(SEARCH("ISO 27001",E291)),"ISO 27001",IF(ISNUMBER(SEARCH("ISO 42001",E291)),"ISO 42001",IF(ISNUMBER(SEARCH("ISO",E291)),"Otras ISO",IF(ISNUMBER(SEARCH("SCRUM",E291)),"SCRUM",IF(ISNUMBER(SEARCH("BRIDGE",E291)),"BRIDGE",IF(ISNUMBER(SEARCH("CDS",E291)),"CDS",IF(ISNUMBER(SEARCH("TOGAF",E291)),"TOGAF",IF(ISNUMBER(SEARCH("DPI",E291)),"DPI",IF(ISNUMBER(SEARCH("DITS",E291)),"DITS",IF(ISNUMBER(SEARCH("AGILE",E291)),"AGILE",IF(ISNUMBER(SEARCH("Ciberseguridad",E291)),"Ciberseguridad","Otros"))))))))))))))</f>
        <v/>
      </c>
      <c r="Q291" s="44" t="str">
        <f aca="false">IF(B291="","",IF(ISNUMBER(K291),IF(K291&lt;=3,"1-3 meses",IF(K291&lt;=6,"4-6 meses","+6 meses")),"Sin dato registrado"))</f>
        <v/>
      </c>
      <c r="R291" s="44" t="str">
        <f aca="false">IF(OR(B291="",M291=""),"",RANK(M291,$M$3:$M$306)+COUNTIF($M$3:M291,M291)-1)</f>
        <v/>
      </c>
    </row>
    <row r="292" customFormat="false" ht="15" hidden="false" customHeight="true" outlineLevel="0" collapsed="false">
      <c r="M292" s="44" t="str">
        <f aca="false">IF(B292="","",IF(ISNUMBER(I292),I292,IFERROR(VALUE(SUBSTITUTE(SUBSTITUTE(I292,"$",""),".","")),0)))</f>
        <v/>
      </c>
      <c r="N292" s="44" t="str">
        <f aca="false">IF(B292="","",PROPER(TRIM(D292)))</f>
        <v/>
      </c>
      <c r="O292" s="44" t="str">
        <f aca="false">IF(B292="","",IF(OR(ISNUMBER(SEARCH("AL DIA",L292)),ISNUMBER(SEARCH("AL DIA",F292))),"Al día",IF(OR(ISNUMBER(SEARCH("QUIETO",L292)),ISNUMBER(SEARCH("QUIETO",F292)),ISNUMBER(SEARCH("ESPERANDO",L292)),ISNUMBER(SEARCH("ESPERANDO",F292))),"Sin respuesta / Inactivo",IF(OR(ISNUMBER(SEARCH("PENDIENTE",L292)),ISNUMBER(SEARCH("PENDIENTE",F292)),ISNUMBER(SEARCH("COMPROMISO",F292)),ISNUMBER(SEARCH("COMPROMISO",L292)),ISNUMBER(SEARCH("PROCESO",F292)),ISNUMBER(SEARCH("LLAMAR",F292)),ISNUMBER(SEARCH("ABONO",J292)),EXACT(L292,"P"),EXACT(F292,"P")),"Pendiente / Compromiso","Sin gestionar"))))</f>
        <v/>
      </c>
      <c r="P292" s="44" t="str">
        <f aca="false">IF(B292="","",IF(E292="","Sin definir",IF(ISNUMBER(SEARCH("ITIL",E292)),"ITIL",IF(ISNUMBER(SEARCH("ISO 27001",E292)),"ISO 27001",IF(ISNUMBER(SEARCH("ISO 42001",E292)),"ISO 42001",IF(ISNUMBER(SEARCH("ISO",E292)),"Otras ISO",IF(ISNUMBER(SEARCH("SCRUM",E292)),"SCRUM",IF(ISNUMBER(SEARCH("BRIDGE",E292)),"BRIDGE",IF(ISNUMBER(SEARCH("CDS",E292)),"CDS",IF(ISNUMBER(SEARCH("TOGAF",E292)),"TOGAF",IF(ISNUMBER(SEARCH("DPI",E292)),"DPI",IF(ISNUMBER(SEARCH("DITS",E292)),"DITS",IF(ISNUMBER(SEARCH("AGILE",E292)),"AGILE",IF(ISNUMBER(SEARCH("Ciberseguridad",E292)),"Ciberseguridad","Otros"))))))))))))))</f>
        <v/>
      </c>
      <c r="Q292" s="44" t="str">
        <f aca="false">IF(B292="","",IF(ISNUMBER(K292),IF(K292&lt;=3,"1-3 meses",IF(K292&lt;=6,"4-6 meses","+6 meses")),"Sin dato registrado"))</f>
        <v/>
      </c>
      <c r="R292" s="44" t="str">
        <f aca="false">IF(OR(B292="",M292=""),"",RANK(M292,$M$3:$M$306)+COUNTIF($M$3:M292,M292)-1)</f>
        <v/>
      </c>
    </row>
    <row r="293" customFormat="false" ht="15" hidden="false" customHeight="true" outlineLevel="0" collapsed="false">
      <c r="M293" s="44" t="str">
        <f aca="false">IF(B293="","",IF(ISNUMBER(I293),I293,IFERROR(VALUE(SUBSTITUTE(SUBSTITUTE(I293,"$",""),".","")),0)))</f>
        <v/>
      </c>
      <c r="N293" s="44" t="str">
        <f aca="false">IF(B293="","",PROPER(TRIM(D293)))</f>
        <v/>
      </c>
      <c r="O293" s="44" t="str">
        <f aca="false">IF(B293="","",IF(OR(ISNUMBER(SEARCH("AL DIA",L293)),ISNUMBER(SEARCH("AL DIA",F293))),"Al día",IF(OR(ISNUMBER(SEARCH("QUIETO",L293)),ISNUMBER(SEARCH("QUIETO",F293)),ISNUMBER(SEARCH("ESPERANDO",L293)),ISNUMBER(SEARCH("ESPERANDO",F293))),"Sin respuesta / Inactivo",IF(OR(ISNUMBER(SEARCH("PENDIENTE",L293)),ISNUMBER(SEARCH("PENDIENTE",F293)),ISNUMBER(SEARCH("COMPROMISO",F293)),ISNUMBER(SEARCH("COMPROMISO",L293)),ISNUMBER(SEARCH("PROCESO",F293)),ISNUMBER(SEARCH("LLAMAR",F293)),ISNUMBER(SEARCH("ABONO",J293)),EXACT(L293,"P"),EXACT(F293,"P")),"Pendiente / Compromiso","Sin gestionar"))))</f>
        <v/>
      </c>
      <c r="P293" s="44" t="str">
        <f aca="false">IF(B293="","",IF(E293="","Sin definir",IF(ISNUMBER(SEARCH("ITIL",E293)),"ITIL",IF(ISNUMBER(SEARCH("ISO 27001",E293)),"ISO 27001",IF(ISNUMBER(SEARCH("ISO 42001",E293)),"ISO 42001",IF(ISNUMBER(SEARCH("ISO",E293)),"Otras ISO",IF(ISNUMBER(SEARCH("SCRUM",E293)),"SCRUM",IF(ISNUMBER(SEARCH("BRIDGE",E293)),"BRIDGE",IF(ISNUMBER(SEARCH("CDS",E293)),"CDS",IF(ISNUMBER(SEARCH("TOGAF",E293)),"TOGAF",IF(ISNUMBER(SEARCH("DPI",E293)),"DPI",IF(ISNUMBER(SEARCH("DITS",E293)),"DITS",IF(ISNUMBER(SEARCH("AGILE",E293)),"AGILE",IF(ISNUMBER(SEARCH("Ciberseguridad",E293)),"Ciberseguridad","Otros"))))))))))))))</f>
        <v/>
      </c>
      <c r="Q293" s="44" t="str">
        <f aca="false">IF(B293="","",IF(ISNUMBER(K293),IF(K293&lt;=3,"1-3 meses",IF(K293&lt;=6,"4-6 meses","+6 meses")),"Sin dato registrado"))</f>
        <v/>
      </c>
      <c r="R293" s="44" t="str">
        <f aca="false">IF(OR(B293="",M293=""),"",RANK(M293,$M$3:$M$306)+COUNTIF($M$3:M293,M293)-1)</f>
        <v/>
      </c>
    </row>
    <row r="294" customFormat="false" ht="15" hidden="false" customHeight="true" outlineLevel="0" collapsed="false">
      <c r="M294" s="44" t="str">
        <f aca="false">IF(B294="","",IF(ISNUMBER(I294),I294,IFERROR(VALUE(SUBSTITUTE(SUBSTITUTE(I294,"$",""),".","")),0)))</f>
        <v/>
      </c>
      <c r="N294" s="44" t="str">
        <f aca="false">IF(B294="","",PROPER(TRIM(D294)))</f>
        <v/>
      </c>
      <c r="O294" s="44" t="str">
        <f aca="false">IF(B294="","",IF(OR(ISNUMBER(SEARCH("AL DIA",L294)),ISNUMBER(SEARCH("AL DIA",F294))),"Al día",IF(OR(ISNUMBER(SEARCH("QUIETO",L294)),ISNUMBER(SEARCH("QUIETO",F294)),ISNUMBER(SEARCH("ESPERANDO",L294)),ISNUMBER(SEARCH("ESPERANDO",F294))),"Sin respuesta / Inactivo",IF(OR(ISNUMBER(SEARCH("PENDIENTE",L294)),ISNUMBER(SEARCH("PENDIENTE",F294)),ISNUMBER(SEARCH("COMPROMISO",F294)),ISNUMBER(SEARCH("COMPROMISO",L294)),ISNUMBER(SEARCH("PROCESO",F294)),ISNUMBER(SEARCH("LLAMAR",F294)),ISNUMBER(SEARCH("ABONO",J294)),EXACT(L294,"P"),EXACT(F294,"P")),"Pendiente / Compromiso","Sin gestionar"))))</f>
        <v/>
      </c>
      <c r="P294" s="44" t="str">
        <f aca="false">IF(B294="","",IF(E294="","Sin definir",IF(ISNUMBER(SEARCH("ITIL",E294)),"ITIL",IF(ISNUMBER(SEARCH("ISO 27001",E294)),"ISO 27001",IF(ISNUMBER(SEARCH("ISO 42001",E294)),"ISO 42001",IF(ISNUMBER(SEARCH("ISO",E294)),"Otras ISO",IF(ISNUMBER(SEARCH("SCRUM",E294)),"SCRUM",IF(ISNUMBER(SEARCH("BRIDGE",E294)),"BRIDGE",IF(ISNUMBER(SEARCH("CDS",E294)),"CDS",IF(ISNUMBER(SEARCH("TOGAF",E294)),"TOGAF",IF(ISNUMBER(SEARCH("DPI",E294)),"DPI",IF(ISNUMBER(SEARCH("DITS",E294)),"DITS",IF(ISNUMBER(SEARCH("AGILE",E294)),"AGILE",IF(ISNUMBER(SEARCH("Ciberseguridad",E294)),"Ciberseguridad","Otros"))))))))))))))</f>
        <v/>
      </c>
      <c r="Q294" s="44" t="str">
        <f aca="false">IF(B294="","",IF(ISNUMBER(K294),IF(K294&lt;=3,"1-3 meses",IF(K294&lt;=6,"4-6 meses","+6 meses")),"Sin dato registrado"))</f>
        <v/>
      </c>
      <c r="R294" s="44" t="str">
        <f aca="false">IF(OR(B294="",M294=""),"",RANK(M294,$M$3:$M$306)+COUNTIF($M$3:M294,M294)-1)</f>
        <v/>
      </c>
    </row>
    <row r="295" customFormat="false" ht="15" hidden="false" customHeight="true" outlineLevel="0" collapsed="false">
      <c r="M295" s="44" t="str">
        <f aca="false">IF(B295="","",IF(ISNUMBER(I295),I295,IFERROR(VALUE(SUBSTITUTE(SUBSTITUTE(I295,"$",""),".","")),0)))</f>
        <v/>
      </c>
      <c r="N295" s="44" t="str">
        <f aca="false">IF(B295="","",PROPER(TRIM(D295)))</f>
        <v/>
      </c>
      <c r="O295" s="44" t="str">
        <f aca="false">IF(B295="","",IF(OR(ISNUMBER(SEARCH("AL DIA",L295)),ISNUMBER(SEARCH("AL DIA",F295))),"Al día",IF(OR(ISNUMBER(SEARCH("QUIETO",L295)),ISNUMBER(SEARCH("QUIETO",F295)),ISNUMBER(SEARCH("ESPERANDO",L295)),ISNUMBER(SEARCH("ESPERANDO",F295))),"Sin respuesta / Inactivo",IF(OR(ISNUMBER(SEARCH("PENDIENTE",L295)),ISNUMBER(SEARCH("PENDIENTE",F295)),ISNUMBER(SEARCH("COMPROMISO",F295)),ISNUMBER(SEARCH("COMPROMISO",L295)),ISNUMBER(SEARCH("PROCESO",F295)),ISNUMBER(SEARCH("LLAMAR",F295)),ISNUMBER(SEARCH("ABONO",J295)),EXACT(L295,"P"),EXACT(F295,"P")),"Pendiente / Compromiso","Sin gestionar"))))</f>
        <v/>
      </c>
      <c r="P295" s="44" t="str">
        <f aca="false">IF(B295="","",IF(E295="","Sin definir",IF(ISNUMBER(SEARCH("ITIL",E295)),"ITIL",IF(ISNUMBER(SEARCH("ISO 27001",E295)),"ISO 27001",IF(ISNUMBER(SEARCH("ISO 42001",E295)),"ISO 42001",IF(ISNUMBER(SEARCH("ISO",E295)),"Otras ISO",IF(ISNUMBER(SEARCH("SCRUM",E295)),"SCRUM",IF(ISNUMBER(SEARCH("BRIDGE",E295)),"BRIDGE",IF(ISNUMBER(SEARCH("CDS",E295)),"CDS",IF(ISNUMBER(SEARCH("TOGAF",E295)),"TOGAF",IF(ISNUMBER(SEARCH("DPI",E295)),"DPI",IF(ISNUMBER(SEARCH("DITS",E295)),"DITS",IF(ISNUMBER(SEARCH("AGILE",E295)),"AGILE",IF(ISNUMBER(SEARCH("Ciberseguridad",E295)),"Ciberseguridad","Otros"))))))))))))))</f>
        <v/>
      </c>
      <c r="Q295" s="44" t="str">
        <f aca="false">IF(B295="","",IF(ISNUMBER(K295),IF(K295&lt;=3,"1-3 meses",IF(K295&lt;=6,"4-6 meses","+6 meses")),"Sin dato registrado"))</f>
        <v/>
      </c>
      <c r="R295" s="44" t="str">
        <f aca="false">IF(OR(B295="",M295=""),"",RANK(M295,$M$3:$M$306)+COUNTIF($M$3:M295,M295)-1)</f>
        <v/>
      </c>
    </row>
    <row r="296" customFormat="false" ht="15" hidden="false" customHeight="true" outlineLevel="0" collapsed="false">
      <c r="M296" s="44" t="str">
        <f aca="false">IF(B296="","",IF(ISNUMBER(I296),I296,IFERROR(VALUE(SUBSTITUTE(SUBSTITUTE(I296,"$",""),".","")),0)))</f>
        <v/>
      </c>
      <c r="N296" s="44" t="str">
        <f aca="false">IF(B296="","",PROPER(TRIM(D296)))</f>
        <v/>
      </c>
      <c r="O296" s="44" t="str">
        <f aca="false">IF(B296="","",IF(OR(ISNUMBER(SEARCH("AL DIA",L296)),ISNUMBER(SEARCH("AL DIA",F296))),"Al día",IF(OR(ISNUMBER(SEARCH("QUIETO",L296)),ISNUMBER(SEARCH("QUIETO",F296)),ISNUMBER(SEARCH("ESPERANDO",L296)),ISNUMBER(SEARCH("ESPERANDO",F296))),"Sin respuesta / Inactivo",IF(OR(ISNUMBER(SEARCH("PENDIENTE",L296)),ISNUMBER(SEARCH("PENDIENTE",F296)),ISNUMBER(SEARCH("COMPROMISO",F296)),ISNUMBER(SEARCH("COMPROMISO",L296)),ISNUMBER(SEARCH("PROCESO",F296)),ISNUMBER(SEARCH("LLAMAR",F296)),ISNUMBER(SEARCH("ABONO",J296)),EXACT(L296,"P"),EXACT(F296,"P")),"Pendiente / Compromiso","Sin gestionar"))))</f>
        <v/>
      </c>
      <c r="P296" s="44" t="str">
        <f aca="false">IF(B296="","",IF(E296="","Sin definir",IF(ISNUMBER(SEARCH("ITIL",E296)),"ITIL",IF(ISNUMBER(SEARCH("ISO 27001",E296)),"ISO 27001",IF(ISNUMBER(SEARCH("ISO 42001",E296)),"ISO 42001",IF(ISNUMBER(SEARCH("ISO",E296)),"Otras ISO",IF(ISNUMBER(SEARCH("SCRUM",E296)),"SCRUM",IF(ISNUMBER(SEARCH("BRIDGE",E296)),"BRIDGE",IF(ISNUMBER(SEARCH("CDS",E296)),"CDS",IF(ISNUMBER(SEARCH("TOGAF",E296)),"TOGAF",IF(ISNUMBER(SEARCH("DPI",E296)),"DPI",IF(ISNUMBER(SEARCH("DITS",E296)),"DITS",IF(ISNUMBER(SEARCH("AGILE",E296)),"AGILE",IF(ISNUMBER(SEARCH("Ciberseguridad",E296)),"Ciberseguridad","Otros"))))))))))))))</f>
        <v/>
      </c>
      <c r="Q296" s="44" t="str">
        <f aca="false">IF(B296="","",IF(ISNUMBER(K296),IF(K296&lt;=3,"1-3 meses",IF(K296&lt;=6,"4-6 meses","+6 meses")),"Sin dato registrado"))</f>
        <v/>
      </c>
      <c r="R296" s="44" t="str">
        <f aca="false">IF(OR(B296="",M296=""),"",RANK(M296,$M$3:$M$306)+COUNTIF($M$3:M296,M296)-1)</f>
        <v/>
      </c>
    </row>
    <row r="297" customFormat="false" ht="15" hidden="false" customHeight="true" outlineLevel="0" collapsed="false">
      <c r="M297" s="44" t="str">
        <f aca="false">IF(B297="","",IF(ISNUMBER(I297),I297,IFERROR(VALUE(SUBSTITUTE(SUBSTITUTE(I297,"$",""),".","")),0)))</f>
        <v/>
      </c>
      <c r="N297" s="44" t="str">
        <f aca="false">IF(B297="","",PROPER(TRIM(D297)))</f>
        <v/>
      </c>
      <c r="O297" s="44" t="str">
        <f aca="false">IF(B297="","",IF(OR(ISNUMBER(SEARCH("AL DIA",L297)),ISNUMBER(SEARCH("AL DIA",F297))),"Al día",IF(OR(ISNUMBER(SEARCH("QUIETO",L297)),ISNUMBER(SEARCH("QUIETO",F297)),ISNUMBER(SEARCH("ESPERANDO",L297)),ISNUMBER(SEARCH("ESPERANDO",F297))),"Sin respuesta / Inactivo",IF(OR(ISNUMBER(SEARCH("PENDIENTE",L297)),ISNUMBER(SEARCH("PENDIENTE",F297)),ISNUMBER(SEARCH("COMPROMISO",F297)),ISNUMBER(SEARCH("COMPROMISO",L297)),ISNUMBER(SEARCH("PROCESO",F297)),ISNUMBER(SEARCH("LLAMAR",F297)),ISNUMBER(SEARCH("ABONO",J297)),EXACT(L297,"P"),EXACT(F297,"P")),"Pendiente / Compromiso","Sin gestionar"))))</f>
        <v/>
      </c>
      <c r="P297" s="44" t="str">
        <f aca="false">IF(B297="","",IF(E297="","Sin definir",IF(ISNUMBER(SEARCH("ITIL",E297)),"ITIL",IF(ISNUMBER(SEARCH("ISO 27001",E297)),"ISO 27001",IF(ISNUMBER(SEARCH("ISO 42001",E297)),"ISO 42001",IF(ISNUMBER(SEARCH("ISO",E297)),"Otras ISO",IF(ISNUMBER(SEARCH("SCRUM",E297)),"SCRUM",IF(ISNUMBER(SEARCH("BRIDGE",E297)),"BRIDGE",IF(ISNUMBER(SEARCH("CDS",E297)),"CDS",IF(ISNUMBER(SEARCH("TOGAF",E297)),"TOGAF",IF(ISNUMBER(SEARCH("DPI",E297)),"DPI",IF(ISNUMBER(SEARCH("DITS",E297)),"DITS",IF(ISNUMBER(SEARCH("AGILE",E297)),"AGILE",IF(ISNUMBER(SEARCH("Ciberseguridad",E297)),"Ciberseguridad","Otros"))))))))))))))</f>
        <v/>
      </c>
      <c r="Q297" s="44" t="str">
        <f aca="false">IF(B297="","",IF(ISNUMBER(K297),IF(K297&lt;=3,"1-3 meses",IF(K297&lt;=6,"4-6 meses","+6 meses")),"Sin dato registrado"))</f>
        <v/>
      </c>
      <c r="R297" s="44" t="str">
        <f aca="false">IF(OR(B297="",M297=""),"",RANK(M297,$M$3:$M$306)+COUNTIF($M$3:M297,M297)-1)</f>
        <v/>
      </c>
    </row>
    <row r="298" customFormat="false" ht="15" hidden="false" customHeight="true" outlineLevel="0" collapsed="false">
      <c r="M298" s="44" t="str">
        <f aca="false">IF(B298="","",IF(ISNUMBER(I298),I298,IFERROR(VALUE(SUBSTITUTE(SUBSTITUTE(I298,"$",""),".","")),0)))</f>
        <v/>
      </c>
      <c r="N298" s="44" t="str">
        <f aca="false">IF(B298="","",PROPER(TRIM(D298)))</f>
        <v/>
      </c>
      <c r="O298" s="44" t="str">
        <f aca="false">IF(B298="","",IF(OR(ISNUMBER(SEARCH("AL DIA",L298)),ISNUMBER(SEARCH("AL DIA",F298))),"Al día",IF(OR(ISNUMBER(SEARCH("QUIETO",L298)),ISNUMBER(SEARCH("QUIETO",F298)),ISNUMBER(SEARCH("ESPERANDO",L298)),ISNUMBER(SEARCH("ESPERANDO",F298))),"Sin respuesta / Inactivo",IF(OR(ISNUMBER(SEARCH("PENDIENTE",L298)),ISNUMBER(SEARCH("PENDIENTE",F298)),ISNUMBER(SEARCH("COMPROMISO",F298)),ISNUMBER(SEARCH("COMPROMISO",L298)),ISNUMBER(SEARCH("PROCESO",F298)),ISNUMBER(SEARCH("LLAMAR",F298)),ISNUMBER(SEARCH("ABONO",J298)),EXACT(L298,"P"),EXACT(F298,"P")),"Pendiente / Compromiso","Sin gestionar"))))</f>
        <v/>
      </c>
      <c r="P298" s="44" t="str">
        <f aca="false">IF(B298="","",IF(E298="","Sin definir",IF(ISNUMBER(SEARCH("ITIL",E298)),"ITIL",IF(ISNUMBER(SEARCH("ISO 27001",E298)),"ISO 27001",IF(ISNUMBER(SEARCH("ISO 42001",E298)),"ISO 42001",IF(ISNUMBER(SEARCH("ISO",E298)),"Otras ISO",IF(ISNUMBER(SEARCH("SCRUM",E298)),"SCRUM",IF(ISNUMBER(SEARCH("BRIDGE",E298)),"BRIDGE",IF(ISNUMBER(SEARCH("CDS",E298)),"CDS",IF(ISNUMBER(SEARCH("TOGAF",E298)),"TOGAF",IF(ISNUMBER(SEARCH("DPI",E298)),"DPI",IF(ISNUMBER(SEARCH("DITS",E298)),"DITS",IF(ISNUMBER(SEARCH("AGILE",E298)),"AGILE",IF(ISNUMBER(SEARCH("Ciberseguridad",E298)),"Ciberseguridad","Otros"))))))))))))))</f>
        <v/>
      </c>
      <c r="Q298" s="44" t="str">
        <f aca="false">IF(B298="","",IF(ISNUMBER(K298),IF(K298&lt;=3,"1-3 meses",IF(K298&lt;=6,"4-6 meses","+6 meses")),"Sin dato registrado"))</f>
        <v/>
      </c>
      <c r="R298" s="44" t="str">
        <f aca="false">IF(OR(B298="",M298=""),"",RANK(M298,$M$3:$M$306)+COUNTIF($M$3:M298,M298)-1)</f>
        <v/>
      </c>
    </row>
    <row r="299" customFormat="false" ht="15" hidden="false" customHeight="true" outlineLevel="0" collapsed="false">
      <c r="M299" s="44" t="str">
        <f aca="false">IF(B299="","",IF(ISNUMBER(I299),I299,IFERROR(VALUE(SUBSTITUTE(SUBSTITUTE(I299,"$",""),".","")),0)))</f>
        <v/>
      </c>
      <c r="N299" s="44" t="str">
        <f aca="false">IF(B299="","",PROPER(TRIM(D299)))</f>
        <v/>
      </c>
      <c r="O299" s="44" t="str">
        <f aca="false">IF(B299="","",IF(OR(ISNUMBER(SEARCH("AL DIA",L299)),ISNUMBER(SEARCH("AL DIA",F299))),"Al día",IF(OR(ISNUMBER(SEARCH("QUIETO",L299)),ISNUMBER(SEARCH("QUIETO",F299)),ISNUMBER(SEARCH("ESPERANDO",L299)),ISNUMBER(SEARCH("ESPERANDO",F299))),"Sin respuesta / Inactivo",IF(OR(ISNUMBER(SEARCH("PENDIENTE",L299)),ISNUMBER(SEARCH("PENDIENTE",F299)),ISNUMBER(SEARCH("COMPROMISO",F299)),ISNUMBER(SEARCH("COMPROMISO",L299)),ISNUMBER(SEARCH("PROCESO",F299)),ISNUMBER(SEARCH("LLAMAR",F299)),ISNUMBER(SEARCH("ABONO",J299)),EXACT(L299,"P"),EXACT(F299,"P")),"Pendiente / Compromiso","Sin gestionar"))))</f>
        <v/>
      </c>
      <c r="P299" s="44" t="str">
        <f aca="false">IF(B299="","",IF(E299="","Sin definir",IF(ISNUMBER(SEARCH("ITIL",E299)),"ITIL",IF(ISNUMBER(SEARCH("ISO 27001",E299)),"ISO 27001",IF(ISNUMBER(SEARCH("ISO 42001",E299)),"ISO 42001",IF(ISNUMBER(SEARCH("ISO",E299)),"Otras ISO",IF(ISNUMBER(SEARCH("SCRUM",E299)),"SCRUM",IF(ISNUMBER(SEARCH("BRIDGE",E299)),"BRIDGE",IF(ISNUMBER(SEARCH("CDS",E299)),"CDS",IF(ISNUMBER(SEARCH("TOGAF",E299)),"TOGAF",IF(ISNUMBER(SEARCH("DPI",E299)),"DPI",IF(ISNUMBER(SEARCH("DITS",E299)),"DITS",IF(ISNUMBER(SEARCH("AGILE",E299)),"AGILE",IF(ISNUMBER(SEARCH("Ciberseguridad",E299)),"Ciberseguridad","Otros"))))))))))))))</f>
        <v/>
      </c>
      <c r="Q299" s="44" t="str">
        <f aca="false">IF(B299="","",IF(ISNUMBER(K299),IF(K299&lt;=3,"1-3 meses",IF(K299&lt;=6,"4-6 meses","+6 meses")),"Sin dato registrado"))</f>
        <v/>
      </c>
      <c r="R299" s="44" t="str">
        <f aca="false">IF(OR(B299="",M299=""),"",RANK(M299,$M$3:$M$306)+COUNTIF($M$3:M299,M299)-1)</f>
        <v/>
      </c>
    </row>
    <row r="300" customFormat="false" ht="15" hidden="false" customHeight="true" outlineLevel="0" collapsed="false">
      <c r="M300" s="44" t="str">
        <f aca="false">IF(B300="","",IF(ISNUMBER(I300),I300,IFERROR(VALUE(SUBSTITUTE(SUBSTITUTE(I300,"$",""),".","")),0)))</f>
        <v/>
      </c>
      <c r="N300" s="44" t="str">
        <f aca="false">IF(B300="","",PROPER(TRIM(D300)))</f>
        <v/>
      </c>
      <c r="O300" s="44" t="str">
        <f aca="false">IF(B300="","",IF(OR(ISNUMBER(SEARCH("AL DIA",L300)),ISNUMBER(SEARCH("AL DIA",F300))),"Al día",IF(OR(ISNUMBER(SEARCH("QUIETO",L300)),ISNUMBER(SEARCH("QUIETO",F300)),ISNUMBER(SEARCH("ESPERANDO",L300)),ISNUMBER(SEARCH("ESPERANDO",F300))),"Sin respuesta / Inactivo",IF(OR(ISNUMBER(SEARCH("PENDIENTE",L300)),ISNUMBER(SEARCH("PENDIENTE",F300)),ISNUMBER(SEARCH("COMPROMISO",F300)),ISNUMBER(SEARCH("COMPROMISO",L300)),ISNUMBER(SEARCH("PROCESO",F300)),ISNUMBER(SEARCH("LLAMAR",F300)),ISNUMBER(SEARCH("ABONO",J300)),EXACT(L300,"P"),EXACT(F300,"P")),"Pendiente / Compromiso","Sin gestionar"))))</f>
        <v/>
      </c>
      <c r="P300" s="44" t="str">
        <f aca="false">IF(B300="","",IF(E300="","Sin definir",IF(ISNUMBER(SEARCH("ITIL",E300)),"ITIL",IF(ISNUMBER(SEARCH("ISO 27001",E300)),"ISO 27001",IF(ISNUMBER(SEARCH("ISO 42001",E300)),"ISO 42001",IF(ISNUMBER(SEARCH("ISO",E300)),"Otras ISO",IF(ISNUMBER(SEARCH("SCRUM",E300)),"SCRUM",IF(ISNUMBER(SEARCH("BRIDGE",E300)),"BRIDGE",IF(ISNUMBER(SEARCH("CDS",E300)),"CDS",IF(ISNUMBER(SEARCH("TOGAF",E300)),"TOGAF",IF(ISNUMBER(SEARCH("DPI",E300)),"DPI",IF(ISNUMBER(SEARCH("DITS",E300)),"DITS",IF(ISNUMBER(SEARCH("AGILE",E300)),"AGILE",IF(ISNUMBER(SEARCH("Ciberseguridad",E300)),"Ciberseguridad","Otros"))))))))))))))</f>
        <v/>
      </c>
      <c r="Q300" s="44" t="str">
        <f aca="false">IF(B300="","",IF(ISNUMBER(K300),IF(K300&lt;=3,"1-3 meses",IF(K300&lt;=6,"4-6 meses","+6 meses")),"Sin dato registrado"))</f>
        <v/>
      </c>
      <c r="R300" s="44" t="str">
        <f aca="false">IF(OR(B300="",M300=""),"",RANK(M300,$M$3:$M$306)+COUNTIF($M$3:M300,M300)-1)</f>
        <v/>
      </c>
    </row>
    <row r="301" customFormat="false" ht="15" hidden="false" customHeight="true" outlineLevel="0" collapsed="false">
      <c r="M301" s="44" t="str">
        <f aca="false">IF(B301="","",IF(ISNUMBER(I301),I301,IFERROR(VALUE(SUBSTITUTE(SUBSTITUTE(I301,"$",""),".","")),0)))</f>
        <v/>
      </c>
      <c r="N301" s="44" t="str">
        <f aca="false">IF(B301="","",PROPER(TRIM(D301)))</f>
        <v/>
      </c>
      <c r="O301" s="44" t="str">
        <f aca="false">IF(B301="","",IF(OR(ISNUMBER(SEARCH("AL DIA",L301)),ISNUMBER(SEARCH("AL DIA",F301))),"Al día",IF(OR(ISNUMBER(SEARCH("QUIETO",L301)),ISNUMBER(SEARCH("QUIETO",F301)),ISNUMBER(SEARCH("ESPERANDO",L301)),ISNUMBER(SEARCH("ESPERANDO",F301))),"Sin respuesta / Inactivo",IF(OR(ISNUMBER(SEARCH("PENDIENTE",L301)),ISNUMBER(SEARCH("PENDIENTE",F301)),ISNUMBER(SEARCH("COMPROMISO",F301)),ISNUMBER(SEARCH("COMPROMISO",L301)),ISNUMBER(SEARCH("PROCESO",F301)),ISNUMBER(SEARCH("LLAMAR",F301)),ISNUMBER(SEARCH("ABONO",J301)),EXACT(L301,"P"),EXACT(F301,"P")),"Pendiente / Compromiso","Sin gestionar"))))</f>
        <v/>
      </c>
      <c r="P301" s="44" t="str">
        <f aca="false">IF(B301="","",IF(E301="","Sin definir",IF(ISNUMBER(SEARCH("ITIL",E301)),"ITIL",IF(ISNUMBER(SEARCH("ISO 27001",E301)),"ISO 27001",IF(ISNUMBER(SEARCH("ISO 42001",E301)),"ISO 42001",IF(ISNUMBER(SEARCH("ISO",E301)),"Otras ISO",IF(ISNUMBER(SEARCH("SCRUM",E301)),"SCRUM",IF(ISNUMBER(SEARCH("BRIDGE",E301)),"BRIDGE",IF(ISNUMBER(SEARCH("CDS",E301)),"CDS",IF(ISNUMBER(SEARCH("TOGAF",E301)),"TOGAF",IF(ISNUMBER(SEARCH("DPI",E301)),"DPI",IF(ISNUMBER(SEARCH("DITS",E301)),"DITS",IF(ISNUMBER(SEARCH("AGILE",E301)),"AGILE",IF(ISNUMBER(SEARCH("Ciberseguridad",E301)),"Ciberseguridad","Otros"))))))))))))))</f>
        <v/>
      </c>
      <c r="Q301" s="44" t="str">
        <f aca="false">IF(B301="","",IF(ISNUMBER(K301),IF(K301&lt;=3,"1-3 meses",IF(K301&lt;=6,"4-6 meses","+6 meses")),"Sin dato registrado"))</f>
        <v/>
      </c>
      <c r="R301" s="44" t="str">
        <f aca="false">IF(OR(B301="",M301=""),"",RANK(M301,$M$3:$M$306)+COUNTIF($M$3:M301,M301)-1)</f>
        <v/>
      </c>
    </row>
    <row r="302" customFormat="false" ht="15" hidden="false" customHeight="true" outlineLevel="0" collapsed="false">
      <c r="M302" s="44" t="str">
        <f aca="false">IF(B302="","",IF(ISNUMBER(I302),I302,IFERROR(VALUE(SUBSTITUTE(SUBSTITUTE(I302,"$",""),".","")),0)))</f>
        <v/>
      </c>
      <c r="N302" s="44" t="str">
        <f aca="false">IF(B302="","",PROPER(TRIM(D302)))</f>
        <v/>
      </c>
      <c r="O302" s="44" t="str">
        <f aca="false">IF(B302="","",IF(OR(ISNUMBER(SEARCH("AL DIA",L302)),ISNUMBER(SEARCH("AL DIA",F302))),"Al día",IF(OR(ISNUMBER(SEARCH("QUIETO",L302)),ISNUMBER(SEARCH("QUIETO",F302)),ISNUMBER(SEARCH("ESPERANDO",L302)),ISNUMBER(SEARCH("ESPERANDO",F302))),"Sin respuesta / Inactivo",IF(OR(ISNUMBER(SEARCH("PENDIENTE",L302)),ISNUMBER(SEARCH("PENDIENTE",F302)),ISNUMBER(SEARCH("COMPROMISO",F302)),ISNUMBER(SEARCH("COMPROMISO",L302)),ISNUMBER(SEARCH("PROCESO",F302)),ISNUMBER(SEARCH("LLAMAR",F302)),ISNUMBER(SEARCH("ABONO",J302)),EXACT(L302,"P"),EXACT(F302,"P")),"Pendiente / Compromiso","Sin gestionar"))))</f>
        <v/>
      </c>
      <c r="P302" s="44" t="str">
        <f aca="false">IF(B302="","",IF(E302="","Sin definir",IF(ISNUMBER(SEARCH("ITIL",E302)),"ITIL",IF(ISNUMBER(SEARCH("ISO 27001",E302)),"ISO 27001",IF(ISNUMBER(SEARCH("ISO 42001",E302)),"ISO 42001",IF(ISNUMBER(SEARCH("ISO",E302)),"Otras ISO",IF(ISNUMBER(SEARCH("SCRUM",E302)),"SCRUM",IF(ISNUMBER(SEARCH("BRIDGE",E302)),"BRIDGE",IF(ISNUMBER(SEARCH("CDS",E302)),"CDS",IF(ISNUMBER(SEARCH("TOGAF",E302)),"TOGAF",IF(ISNUMBER(SEARCH("DPI",E302)),"DPI",IF(ISNUMBER(SEARCH("DITS",E302)),"DITS",IF(ISNUMBER(SEARCH("AGILE",E302)),"AGILE",IF(ISNUMBER(SEARCH("Ciberseguridad",E302)),"Ciberseguridad","Otros"))))))))))))))</f>
        <v/>
      </c>
      <c r="Q302" s="44" t="str">
        <f aca="false">IF(B302="","",IF(ISNUMBER(K302),IF(K302&lt;=3,"1-3 meses",IF(K302&lt;=6,"4-6 meses","+6 meses")),"Sin dato registrado"))</f>
        <v/>
      </c>
      <c r="R302" s="44" t="str">
        <f aca="false">IF(OR(B302="",M302=""),"",RANK(M302,$M$3:$M$306)+COUNTIF($M$3:M302,M302)-1)</f>
        <v/>
      </c>
    </row>
    <row r="303" customFormat="false" ht="15" hidden="false" customHeight="true" outlineLevel="0" collapsed="false">
      <c r="M303" s="44" t="str">
        <f aca="false">IF(B303="","",IF(ISNUMBER(I303),I303,IFERROR(VALUE(SUBSTITUTE(SUBSTITUTE(I303,"$",""),".","")),0)))</f>
        <v/>
      </c>
      <c r="N303" s="44" t="str">
        <f aca="false">IF(B303="","",PROPER(TRIM(D303)))</f>
        <v/>
      </c>
      <c r="O303" s="44" t="str">
        <f aca="false">IF(B303="","",IF(OR(ISNUMBER(SEARCH("AL DIA",L303)),ISNUMBER(SEARCH("AL DIA",F303))),"Al día",IF(OR(ISNUMBER(SEARCH("QUIETO",L303)),ISNUMBER(SEARCH("QUIETO",F303)),ISNUMBER(SEARCH("ESPERANDO",L303)),ISNUMBER(SEARCH("ESPERANDO",F303))),"Sin respuesta / Inactivo",IF(OR(ISNUMBER(SEARCH("PENDIENTE",L303)),ISNUMBER(SEARCH("PENDIENTE",F303)),ISNUMBER(SEARCH("COMPROMISO",F303)),ISNUMBER(SEARCH("COMPROMISO",L303)),ISNUMBER(SEARCH("PROCESO",F303)),ISNUMBER(SEARCH("LLAMAR",F303)),ISNUMBER(SEARCH("ABONO",J303)),EXACT(L303,"P"),EXACT(F303,"P")),"Pendiente / Compromiso","Sin gestionar"))))</f>
        <v/>
      </c>
      <c r="P303" s="44" t="str">
        <f aca="false">IF(B303="","",IF(E303="","Sin definir",IF(ISNUMBER(SEARCH("ITIL",E303)),"ITIL",IF(ISNUMBER(SEARCH("ISO 27001",E303)),"ISO 27001",IF(ISNUMBER(SEARCH("ISO 42001",E303)),"ISO 42001",IF(ISNUMBER(SEARCH("ISO",E303)),"Otras ISO",IF(ISNUMBER(SEARCH("SCRUM",E303)),"SCRUM",IF(ISNUMBER(SEARCH("BRIDGE",E303)),"BRIDGE",IF(ISNUMBER(SEARCH("CDS",E303)),"CDS",IF(ISNUMBER(SEARCH("TOGAF",E303)),"TOGAF",IF(ISNUMBER(SEARCH("DPI",E303)),"DPI",IF(ISNUMBER(SEARCH("DITS",E303)),"DITS",IF(ISNUMBER(SEARCH("AGILE",E303)),"AGILE",IF(ISNUMBER(SEARCH("Ciberseguridad",E303)),"Ciberseguridad","Otros"))))))))))))))</f>
        <v/>
      </c>
      <c r="Q303" s="44" t="str">
        <f aca="false">IF(B303="","",IF(ISNUMBER(K303),IF(K303&lt;=3,"1-3 meses",IF(K303&lt;=6,"4-6 meses","+6 meses")),"Sin dato registrado"))</f>
        <v/>
      </c>
      <c r="R303" s="44" t="str">
        <f aca="false">IF(OR(B303="",M303=""),"",RANK(M303,$M$3:$M$306)+COUNTIF($M$3:M303,M303)-1)</f>
        <v/>
      </c>
    </row>
    <row r="304" customFormat="false" ht="15" hidden="false" customHeight="true" outlineLevel="0" collapsed="false">
      <c r="M304" s="44" t="str">
        <f aca="false">IF(B304="","",IF(ISNUMBER(I304),I304,IFERROR(VALUE(SUBSTITUTE(SUBSTITUTE(I304,"$",""),".","")),0)))</f>
        <v/>
      </c>
      <c r="N304" s="44" t="str">
        <f aca="false">IF(B304="","",PROPER(TRIM(D304)))</f>
        <v/>
      </c>
      <c r="O304" s="44" t="str">
        <f aca="false">IF(B304="","",IF(OR(ISNUMBER(SEARCH("AL DIA",L304)),ISNUMBER(SEARCH("AL DIA",F304))),"Al día",IF(OR(ISNUMBER(SEARCH("QUIETO",L304)),ISNUMBER(SEARCH("QUIETO",F304)),ISNUMBER(SEARCH("ESPERANDO",L304)),ISNUMBER(SEARCH("ESPERANDO",F304))),"Sin respuesta / Inactivo",IF(OR(ISNUMBER(SEARCH("PENDIENTE",L304)),ISNUMBER(SEARCH("PENDIENTE",F304)),ISNUMBER(SEARCH("COMPROMISO",F304)),ISNUMBER(SEARCH("COMPROMISO",L304)),ISNUMBER(SEARCH("PROCESO",F304)),ISNUMBER(SEARCH("LLAMAR",F304)),ISNUMBER(SEARCH("ABONO",J304)),EXACT(L304,"P"),EXACT(F304,"P")),"Pendiente / Compromiso","Sin gestionar"))))</f>
        <v/>
      </c>
      <c r="P304" s="44" t="str">
        <f aca="false">IF(B304="","",IF(E304="","Sin definir",IF(ISNUMBER(SEARCH("ITIL",E304)),"ITIL",IF(ISNUMBER(SEARCH("ISO 27001",E304)),"ISO 27001",IF(ISNUMBER(SEARCH("ISO 42001",E304)),"ISO 42001",IF(ISNUMBER(SEARCH("ISO",E304)),"Otras ISO",IF(ISNUMBER(SEARCH("SCRUM",E304)),"SCRUM",IF(ISNUMBER(SEARCH("BRIDGE",E304)),"BRIDGE",IF(ISNUMBER(SEARCH("CDS",E304)),"CDS",IF(ISNUMBER(SEARCH("TOGAF",E304)),"TOGAF",IF(ISNUMBER(SEARCH("DPI",E304)),"DPI",IF(ISNUMBER(SEARCH("DITS",E304)),"DITS",IF(ISNUMBER(SEARCH("AGILE",E304)),"AGILE",IF(ISNUMBER(SEARCH("Ciberseguridad",E304)),"Ciberseguridad","Otros"))))))))))))))</f>
        <v/>
      </c>
      <c r="Q304" s="44" t="str">
        <f aca="false">IF(B304="","",IF(ISNUMBER(K304),IF(K304&lt;=3,"1-3 meses",IF(K304&lt;=6,"4-6 meses","+6 meses")),"Sin dato registrado"))</f>
        <v/>
      </c>
      <c r="R304" s="44" t="str">
        <f aca="false">IF(OR(B304="",M304=""),"",RANK(M304,$M$3:$M$306)+COUNTIF($M$3:M304,M304)-1)</f>
        <v/>
      </c>
    </row>
    <row r="305" customFormat="false" ht="15" hidden="false" customHeight="true" outlineLevel="0" collapsed="false">
      <c r="M305" s="44" t="str">
        <f aca="false">IF(B305="","",IF(ISNUMBER(I305),I305,IFERROR(VALUE(SUBSTITUTE(SUBSTITUTE(I305,"$",""),".","")),0)))</f>
        <v/>
      </c>
      <c r="N305" s="44" t="str">
        <f aca="false">IF(B305="","",PROPER(TRIM(D305)))</f>
        <v/>
      </c>
      <c r="O305" s="44" t="str">
        <f aca="false">IF(B305="","",IF(OR(ISNUMBER(SEARCH("AL DIA",L305)),ISNUMBER(SEARCH("AL DIA",F305))),"Al día",IF(OR(ISNUMBER(SEARCH("QUIETO",L305)),ISNUMBER(SEARCH("QUIETO",F305)),ISNUMBER(SEARCH("ESPERANDO",L305)),ISNUMBER(SEARCH("ESPERANDO",F305))),"Sin respuesta / Inactivo",IF(OR(ISNUMBER(SEARCH("PENDIENTE",L305)),ISNUMBER(SEARCH("PENDIENTE",F305)),ISNUMBER(SEARCH("COMPROMISO",F305)),ISNUMBER(SEARCH("COMPROMISO",L305)),ISNUMBER(SEARCH("PROCESO",F305)),ISNUMBER(SEARCH("LLAMAR",F305)),ISNUMBER(SEARCH("ABONO",J305)),EXACT(L305,"P"),EXACT(F305,"P")),"Pendiente / Compromiso","Sin gestionar"))))</f>
        <v/>
      </c>
      <c r="P305" s="44" t="str">
        <f aca="false">IF(B305="","",IF(E305="","Sin definir",IF(ISNUMBER(SEARCH("ITIL",E305)),"ITIL",IF(ISNUMBER(SEARCH("ISO 27001",E305)),"ISO 27001",IF(ISNUMBER(SEARCH("ISO 42001",E305)),"ISO 42001",IF(ISNUMBER(SEARCH("ISO",E305)),"Otras ISO",IF(ISNUMBER(SEARCH("SCRUM",E305)),"SCRUM",IF(ISNUMBER(SEARCH("BRIDGE",E305)),"BRIDGE",IF(ISNUMBER(SEARCH("CDS",E305)),"CDS",IF(ISNUMBER(SEARCH("TOGAF",E305)),"TOGAF",IF(ISNUMBER(SEARCH("DPI",E305)),"DPI",IF(ISNUMBER(SEARCH("DITS",E305)),"DITS",IF(ISNUMBER(SEARCH("AGILE",E305)),"AGILE",IF(ISNUMBER(SEARCH("Ciberseguridad",E305)),"Ciberseguridad","Otros"))))))))))))))</f>
        <v/>
      </c>
      <c r="Q305" s="44" t="str">
        <f aca="false">IF(B305="","",IF(ISNUMBER(K305),IF(K305&lt;=3,"1-3 meses",IF(K305&lt;=6,"4-6 meses","+6 meses")),"Sin dato registrado"))</f>
        <v/>
      </c>
      <c r="R305" s="44" t="str">
        <f aca="false">IF(OR(B305="",M305=""),"",RANK(M305,$M$3:$M$306)+COUNTIF($M$3:M305,M305)-1)</f>
        <v/>
      </c>
    </row>
    <row r="306" customFormat="false" ht="15" hidden="false" customHeight="true" outlineLevel="0" collapsed="false">
      <c r="M306" s="44" t="str">
        <f aca="false">IF(B306="","",IF(ISNUMBER(I306),I306,IFERROR(VALUE(SUBSTITUTE(SUBSTITUTE(I306,"$",""),".","")),0)))</f>
        <v/>
      </c>
      <c r="N306" s="44" t="str">
        <f aca="false">IF(B306="","",PROPER(TRIM(D306)))</f>
        <v/>
      </c>
      <c r="O306" s="44" t="str">
        <f aca="false">IF(B306="","",IF(OR(ISNUMBER(SEARCH("AL DIA",L306)),ISNUMBER(SEARCH("AL DIA",F306))),"Al día",IF(OR(ISNUMBER(SEARCH("QUIETO",L306)),ISNUMBER(SEARCH("QUIETO",F306)),ISNUMBER(SEARCH("ESPERANDO",L306)),ISNUMBER(SEARCH("ESPERANDO",F306))),"Sin respuesta / Inactivo",IF(OR(ISNUMBER(SEARCH("PENDIENTE",L306)),ISNUMBER(SEARCH("PENDIENTE",F306)),ISNUMBER(SEARCH("COMPROMISO",F306)),ISNUMBER(SEARCH("COMPROMISO",L306)),ISNUMBER(SEARCH("PROCESO",F306)),ISNUMBER(SEARCH("LLAMAR",F306)),ISNUMBER(SEARCH("ABONO",J306)),EXACT(L306,"P"),EXACT(F306,"P")),"Pendiente / Compromiso","Sin gestionar"))))</f>
        <v/>
      </c>
      <c r="P306" s="44" t="str">
        <f aca="false">IF(B306="","",IF(E306="","Sin definir",IF(ISNUMBER(SEARCH("ITIL",E306)),"ITIL",IF(ISNUMBER(SEARCH("ISO 27001",E306)),"ISO 27001",IF(ISNUMBER(SEARCH("ISO 42001",E306)),"ISO 42001",IF(ISNUMBER(SEARCH("ISO",E306)),"Otras ISO",IF(ISNUMBER(SEARCH("SCRUM",E306)),"SCRUM",IF(ISNUMBER(SEARCH("BRIDGE",E306)),"BRIDGE",IF(ISNUMBER(SEARCH("CDS",E306)),"CDS",IF(ISNUMBER(SEARCH("TOGAF",E306)),"TOGAF",IF(ISNUMBER(SEARCH("DPI",E306)),"DPI",IF(ISNUMBER(SEARCH("DITS",E306)),"DITS",IF(ISNUMBER(SEARCH("AGILE",E306)),"AGILE",IF(ISNUMBER(SEARCH("Ciberseguridad",E306)),"Ciberseguridad","Otros"))))))))))))))</f>
        <v/>
      </c>
      <c r="Q306" s="44" t="str">
        <f aca="false">IF(B306="","",IF(ISNUMBER(K306),IF(K306&lt;=3,"1-3 meses",IF(K306&lt;=6,"4-6 meses","+6 meses")),"Sin dato registrado"))</f>
        <v/>
      </c>
      <c r="R306" s="44" t="str">
        <f aca="false">IF(OR(B306="",M306=""),"",RANK(M306,$M$3:$M$306)+COUNTIF($M$3:M306,M306)-1)</f>
        <v/>
      </c>
    </row>
  </sheetData>
  <mergeCells count="1">
    <mergeCell ref="M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6"/>
  <sheetViews>
    <sheetView showFormulas="false" showGridLines="true" showRowColHeaders="true" showZeros="true" rightToLeft="false" tabSelected="false" showOutlineSymbols="true" defaultGridColor="true" view="normal" topLeftCell="A1" colorId="64" zoomScale="53" zoomScaleNormal="53" zoomScalePageLayoutView="100" workbookViewId="0">
      <selection pane="topLeft" activeCell="B85" activeCellId="0" sqref="B85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25.57"/>
    <col collapsed="false" customWidth="true" hidden="false" outlineLevel="0" max="2" min="2" style="1" width="27.86"/>
  </cols>
  <sheetData>
    <row r="3" customFormat="false" ht="15" hidden="false" customHeight="true" outlineLevel="0" collapsed="false">
      <c r="A3" s="66" t="s">
        <v>194</v>
      </c>
    </row>
    <row r="4" customFormat="false" ht="15" hidden="false" customHeight="true" outlineLevel="0" collapsed="false">
      <c r="A4" s="67"/>
    </row>
    <row r="19" customFormat="false" ht="15" hidden="false" customHeight="true" outlineLevel="0" collapsed="false">
      <c r="A19" s="66" t="s">
        <v>194</v>
      </c>
    </row>
    <row r="20" customFormat="false" ht="15" hidden="false" customHeight="true" outlineLevel="0" collapsed="false">
      <c r="A20" s="67"/>
    </row>
    <row r="39" customFormat="false" ht="15" hidden="false" customHeight="true" outlineLevel="0" collapsed="false">
      <c r="A39" s="66" t="s">
        <v>194</v>
      </c>
    </row>
    <row r="40" customFormat="false" ht="15" hidden="false" customHeight="true" outlineLevel="0" collapsed="false">
      <c r="A40" s="67"/>
    </row>
    <row r="54" customFormat="false" ht="15" hidden="false" customHeight="true" outlineLevel="0" collapsed="false">
      <c r="A54" s="68" t="s">
        <v>15</v>
      </c>
      <c r="B54" s="69" t="s">
        <v>194</v>
      </c>
    </row>
    <row r="55" customFormat="false" ht="15" hidden="false" customHeight="true" outlineLevel="0" collapsed="false">
      <c r="A55" s="70" t="s">
        <v>22</v>
      </c>
      <c r="B55" s="71"/>
    </row>
    <row r="56" customFormat="false" ht="15" hidden="false" customHeight="true" outlineLevel="0" collapsed="false">
      <c r="A56" s="72" t="s">
        <v>23</v>
      </c>
      <c r="B56" s="73"/>
    </row>
    <row r="57" customFormat="false" ht="15" hidden="false" customHeight="true" outlineLevel="0" collapsed="false">
      <c r="A57" s="72" t="s">
        <v>21</v>
      </c>
      <c r="B57" s="73"/>
    </row>
    <row r="58" customFormat="false" ht="15" hidden="false" customHeight="true" outlineLevel="0" collapsed="false">
      <c r="A58" s="72" t="s">
        <v>194</v>
      </c>
      <c r="B58" s="74"/>
    </row>
    <row r="59" customFormat="false" ht="15" hidden="false" customHeight="true" outlineLevel="0" collapsed="false">
      <c r="A59" s="75" t="s">
        <v>195</v>
      </c>
      <c r="B59" s="76"/>
    </row>
    <row r="69" customFormat="false" ht="15" hidden="false" customHeight="true" outlineLevel="0" collapsed="false">
      <c r="A69" s="66" t="s">
        <v>194</v>
      </c>
    </row>
    <row r="70" customFormat="false" ht="15" hidden="false" customHeight="true" outlineLevel="0" collapsed="false">
      <c r="A70" s="67"/>
    </row>
    <row r="85" customFormat="false" ht="15" hidden="false" customHeight="true" outlineLevel="0" collapsed="false">
      <c r="A85" s="66" t="s">
        <v>194</v>
      </c>
    </row>
    <row r="86" customFormat="false" ht="15" hidden="false" customHeight="true" outlineLevel="0" collapsed="false">
      <c r="A86" s="6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0:B43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B44" activeCellId="0" sqref="B44"/>
    </sheetView>
  </sheetViews>
  <sheetFormatPr defaultColWidth="11.5703125" defaultRowHeight="15" customHeight="true" zeroHeight="false" outlineLevelRow="0" outlineLevelCol="0"/>
  <cols>
    <col collapsed="false" customWidth="true" hidden="false" outlineLevel="0" max="2" min="2" style="1" width="40.71"/>
  </cols>
  <sheetData>
    <row r="40" customFormat="false" ht="21" hidden="false" customHeight="true" outlineLevel="0" collapsed="false">
      <c r="B40" s="77" t="s">
        <v>196</v>
      </c>
    </row>
    <row r="43" customFormat="false" ht="28.5" hidden="false" customHeight="true" outlineLevel="0" collapsed="false">
      <c r="B43" s="78" t="n">
        <f aca="false">DSB!$B$6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2026-02-04T00:31:29Z</dcterms:created>
  <dc:creator>openpyxl</dc:creator>
  <dc:description/>
  <dc:language>en-US</dc:language>
  <cp:lastModifiedBy/>
  <dcterms:modified xsi:type="dcterms:W3CDTF">2026-09-10T16:29:20Z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